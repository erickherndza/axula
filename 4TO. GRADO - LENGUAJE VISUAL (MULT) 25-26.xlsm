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ducrd-my.sharepoint.com/personal/tirso_figuereo_docente_edu_do/Documents/Escritorio/Coordinacion año escolar 2025-2026/Registro de Calificaciones año escolar 2025-2026/4-Cuarto Grado/Multimedia/"/>
    </mc:Choice>
  </mc:AlternateContent>
  <xr:revisionPtr revIDLastSave="210" documentId="8_{40980615-0543-4C0C-98A4-E99E7080CD54}" xr6:coauthVersionLast="47" xr6:coauthVersionMax="47" xr10:uidLastSave="{49A7677F-C915-4963-9618-6BCB9C9E97C7}"/>
  <workbookProtection lockStructure="1"/>
  <bookViews>
    <workbookView xWindow="-120" yWindow="-120" windowWidth="20730" windowHeight="11040" tabRatio="490" xr2:uid="{00000000-000D-0000-FFFF-FFFF00000000}"/>
  </bookViews>
  <sheets>
    <sheet name="CF 4TO A MULTIMEDIA" sheetId="30" r:id="rId1"/>
  </sheets>
  <externalReferences>
    <externalReference r:id="rId2"/>
  </externalReferences>
  <definedNames>
    <definedName name="_xlnm.Print_Area" localSheetId="0">'CF 4TO A MULTIMEDIA'!$B$1:$AW$40,'CF 4TO A MULTIMEDIA'!$AY$1:$BQ$40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F18" i="30" l="1"/>
  <c r="E49" i="30"/>
  <c r="D49" i="30"/>
  <c r="C49" i="30"/>
  <c r="B49" i="30"/>
  <c r="E48" i="30"/>
  <c r="D48" i="30"/>
  <c r="C48" i="30"/>
  <c r="B48" i="30"/>
  <c r="E47" i="30"/>
  <c r="D47" i="30"/>
  <c r="C47" i="30"/>
  <c r="B47" i="30"/>
  <c r="E46" i="30"/>
  <c r="D46" i="30"/>
  <c r="C46" i="30"/>
  <c r="B46" i="30"/>
  <c r="E45" i="30"/>
  <c r="D45" i="30"/>
  <c r="C45" i="30"/>
  <c r="B45" i="30"/>
  <c r="E44" i="30"/>
  <c r="D44" i="30"/>
  <c r="C44" i="30"/>
  <c r="B44" i="30"/>
  <c r="E43" i="30"/>
  <c r="D43" i="30"/>
  <c r="C43" i="30"/>
  <c r="B43" i="30"/>
  <c r="E42" i="30"/>
  <c r="D42" i="30"/>
  <c r="C42" i="30"/>
  <c r="B42" i="30"/>
  <c r="E41" i="30"/>
  <c r="D41" i="30"/>
  <c r="C41" i="30"/>
  <c r="B41" i="30"/>
  <c r="E40" i="30"/>
  <c r="D40" i="30"/>
  <c r="C40" i="30"/>
  <c r="B40" i="30"/>
  <c r="E39" i="30"/>
  <c r="D39" i="30"/>
  <c r="C39" i="30"/>
  <c r="B39" i="30"/>
  <c r="E38" i="30"/>
  <c r="D38" i="30"/>
  <c r="C38" i="30"/>
  <c r="B38" i="30"/>
  <c r="E37" i="30"/>
  <c r="D37" i="30"/>
  <c r="C37" i="30"/>
  <c r="B37" i="30"/>
  <c r="E36" i="30"/>
  <c r="D36" i="30"/>
  <c r="C36" i="30"/>
  <c r="B36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E25" i="30"/>
  <c r="D25" i="30"/>
  <c r="C25" i="30"/>
  <c r="B25" i="30"/>
  <c r="E24" i="30"/>
  <c r="D24" i="30"/>
  <c r="C24" i="30"/>
  <c r="B24" i="30"/>
  <c r="E23" i="30"/>
  <c r="D23" i="30"/>
  <c r="C23" i="30"/>
  <c r="B23" i="30"/>
  <c r="E22" i="30"/>
  <c r="D22" i="30"/>
  <c r="C22" i="30"/>
  <c r="B22" i="30"/>
  <c r="E21" i="30"/>
  <c r="D21" i="30"/>
  <c r="C21" i="30"/>
  <c r="B21" i="30"/>
  <c r="E20" i="30"/>
  <c r="D20" i="30"/>
  <c r="C20" i="30"/>
  <c r="B20" i="30"/>
  <c r="E19" i="30"/>
  <c r="D19" i="30"/>
  <c r="C19" i="30"/>
  <c r="B19" i="30"/>
  <c r="E18" i="30"/>
  <c r="D18" i="30"/>
  <c r="C18" i="30"/>
  <c r="B18" i="30"/>
  <c r="E17" i="30"/>
  <c r="D17" i="30"/>
  <c r="C17" i="30"/>
  <c r="B17" i="30"/>
  <c r="E16" i="30"/>
  <c r="D16" i="30"/>
  <c r="C16" i="30"/>
  <c r="B16" i="30"/>
  <c r="E15" i="30"/>
  <c r="D15" i="30"/>
  <c r="C15" i="30"/>
  <c r="B15" i="30"/>
  <c r="E14" i="30"/>
  <c r="D14" i="30"/>
  <c r="C14" i="30"/>
  <c r="B14" i="30"/>
  <c r="E13" i="30"/>
  <c r="D13" i="30"/>
  <c r="C13" i="30"/>
  <c r="B13" i="30"/>
  <c r="E12" i="30"/>
  <c r="D12" i="30"/>
  <c r="C12" i="30"/>
  <c r="B12" i="30"/>
  <c r="E11" i="30"/>
  <c r="D11" i="30"/>
  <c r="C11" i="30"/>
  <c r="B11" i="30"/>
  <c r="E10" i="30"/>
  <c r="D10" i="30"/>
  <c r="B10" i="30"/>
  <c r="C10" i="30"/>
  <c r="BD11" i="30"/>
  <c r="BE11" i="30"/>
  <c r="BF11" i="30"/>
  <c r="BD12" i="30"/>
  <c r="BE12" i="30"/>
  <c r="BF12" i="30"/>
  <c r="BD13" i="30"/>
  <c r="BE13" i="30"/>
  <c r="BF13" i="30"/>
  <c r="BD14" i="30"/>
  <c r="BE14" i="30"/>
  <c r="BF14" i="30"/>
  <c r="BD15" i="30"/>
  <c r="BE15" i="30"/>
  <c r="BF15" i="30"/>
  <c r="BD16" i="30"/>
  <c r="BE16" i="30"/>
  <c r="BF16" i="30"/>
  <c r="BD17" i="30"/>
  <c r="BE17" i="30"/>
  <c r="BF17" i="30"/>
  <c r="BD18" i="30"/>
  <c r="BE18" i="30"/>
  <c r="BD19" i="30"/>
  <c r="BE19" i="30"/>
  <c r="BF19" i="30"/>
  <c r="BD20" i="30"/>
  <c r="BE20" i="30"/>
  <c r="BF20" i="30"/>
  <c r="BD21" i="30"/>
  <c r="BE21" i="30"/>
  <c r="BF21" i="30"/>
  <c r="BD22" i="30"/>
  <c r="BE22" i="30"/>
  <c r="BF22" i="30"/>
  <c r="BD23" i="30"/>
  <c r="BE23" i="30"/>
  <c r="BF23" i="30"/>
  <c r="BD24" i="30"/>
  <c r="BE24" i="30"/>
  <c r="BF24" i="30"/>
  <c r="BD25" i="30"/>
  <c r="BE25" i="30"/>
  <c r="BF25" i="30"/>
  <c r="BD26" i="30"/>
  <c r="BE26" i="30"/>
  <c r="BF26" i="30"/>
  <c r="BD27" i="30"/>
  <c r="BE27" i="30"/>
  <c r="BF27" i="30"/>
  <c r="BD28" i="30"/>
  <c r="BE28" i="30"/>
  <c r="BF28" i="30"/>
  <c r="BD29" i="30"/>
  <c r="BE29" i="30"/>
  <c r="BF29" i="30"/>
  <c r="BD30" i="30"/>
  <c r="BE30" i="30"/>
  <c r="BF30" i="30"/>
  <c r="BD31" i="30"/>
  <c r="BE31" i="30"/>
  <c r="BF31" i="30"/>
  <c r="BD32" i="30"/>
  <c r="BE32" i="30"/>
  <c r="BF32" i="30"/>
  <c r="BD33" i="30"/>
  <c r="BE33" i="30"/>
  <c r="BF33" i="30"/>
  <c r="BD34" i="30"/>
  <c r="BE34" i="30"/>
  <c r="BF34" i="30"/>
  <c r="BD35" i="30"/>
  <c r="BE35" i="30"/>
  <c r="BF35" i="30"/>
  <c r="BD36" i="30"/>
  <c r="BE36" i="30"/>
  <c r="BF36" i="30"/>
  <c r="BD37" i="30"/>
  <c r="BE37" i="30"/>
  <c r="BF37" i="30"/>
  <c r="BD38" i="30"/>
  <c r="BE38" i="30"/>
  <c r="BF38" i="30"/>
  <c r="BD39" i="30"/>
  <c r="BE39" i="30"/>
  <c r="BF39" i="30"/>
  <c r="BD40" i="30"/>
  <c r="BE40" i="30"/>
  <c r="BF40" i="30"/>
  <c r="BD41" i="30"/>
  <c r="BE41" i="30"/>
  <c r="BF41" i="30"/>
  <c r="BD42" i="30"/>
  <c r="BE42" i="30"/>
  <c r="BF42" i="30"/>
  <c r="BD43" i="30"/>
  <c r="BE43" i="30"/>
  <c r="BF43" i="30"/>
  <c r="BD44" i="30"/>
  <c r="BE44" i="30"/>
  <c r="BF44" i="30"/>
  <c r="BD45" i="30"/>
  <c r="BE45" i="30"/>
  <c r="BF45" i="30"/>
  <c r="BD46" i="30"/>
  <c r="BE46" i="30"/>
  <c r="BF46" i="30"/>
  <c r="BD47" i="30"/>
  <c r="BE47" i="30"/>
  <c r="BF47" i="30"/>
  <c r="BD48" i="30"/>
  <c r="BE48" i="30"/>
  <c r="BF48" i="30"/>
  <c r="BD49" i="30"/>
  <c r="BE49" i="30"/>
  <c r="BF49" i="30"/>
  <c r="BD10" i="30"/>
  <c r="BE10" i="30"/>
  <c r="BF10" i="30"/>
  <c r="BH11" i="30"/>
  <c r="BH12" i="30"/>
  <c r="BH13" i="30"/>
  <c r="BH14" i="30"/>
  <c r="BH15" i="30"/>
  <c r="BH16" i="30"/>
  <c r="BH17" i="30"/>
  <c r="BH18" i="30"/>
  <c r="BH19" i="30"/>
  <c r="BH20" i="30"/>
  <c r="BH21" i="30"/>
  <c r="BH22" i="30"/>
  <c r="BH23" i="30"/>
  <c r="BH24" i="30"/>
  <c r="BH25" i="30"/>
  <c r="BH26" i="30"/>
  <c r="BH27" i="30"/>
  <c r="BH28" i="30"/>
  <c r="BH29" i="30"/>
  <c r="BH30" i="30"/>
  <c r="BH31" i="30"/>
  <c r="BH32" i="30"/>
  <c r="BH33" i="30"/>
  <c r="BH34" i="30"/>
  <c r="BH35" i="30"/>
  <c r="BH36" i="30"/>
  <c r="BH37" i="30"/>
  <c r="BH38" i="30"/>
  <c r="BH39" i="30"/>
  <c r="BH40" i="30"/>
  <c r="BH41" i="30"/>
  <c r="BH42" i="30"/>
  <c r="BH43" i="30"/>
  <c r="BH44" i="30"/>
  <c r="BH45" i="30"/>
  <c r="BH46" i="30"/>
  <c r="BH47" i="30"/>
  <c r="BH48" i="30"/>
  <c r="BH49" i="30"/>
  <c r="BH10" i="30"/>
  <c r="BC11" i="30"/>
  <c r="BC12" i="30"/>
  <c r="BG12" i="30" s="1"/>
  <c r="BC13" i="30"/>
  <c r="BC14" i="30"/>
  <c r="BC15" i="30"/>
  <c r="BG15" i="30" s="1"/>
  <c r="BC16" i="30"/>
  <c r="BG16" i="30" s="1"/>
  <c r="BC17" i="30"/>
  <c r="BC18" i="30"/>
  <c r="BC19" i="30"/>
  <c r="BC20" i="30"/>
  <c r="BC21" i="30"/>
  <c r="BC22" i="30"/>
  <c r="BC23" i="30"/>
  <c r="BC24" i="30"/>
  <c r="BC25" i="30"/>
  <c r="BC26" i="30"/>
  <c r="BC27" i="30"/>
  <c r="BC28" i="30"/>
  <c r="BC29" i="30"/>
  <c r="BC30" i="30"/>
  <c r="BC31" i="30"/>
  <c r="BC32" i="30"/>
  <c r="BC33" i="30"/>
  <c r="BC34" i="30"/>
  <c r="BC35" i="30"/>
  <c r="BC36" i="30"/>
  <c r="BC37" i="30"/>
  <c r="BC38" i="30"/>
  <c r="BC39" i="30"/>
  <c r="BC40" i="30"/>
  <c r="BC41" i="30"/>
  <c r="BG41" i="30" s="1"/>
  <c r="BC42" i="30"/>
  <c r="BG42" i="30" s="1"/>
  <c r="BC43" i="30"/>
  <c r="BC44" i="30"/>
  <c r="BG44" i="30" s="1"/>
  <c r="BC45" i="30"/>
  <c r="BG45" i="30" s="1"/>
  <c r="BC46" i="30"/>
  <c r="BG46" i="30" s="1"/>
  <c r="BC47" i="30"/>
  <c r="BG47" i="30" s="1"/>
  <c r="BI47" i="30" s="1"/>
  <c r="BC48" i="30"/>
  <c r="BG48" i="30" s="1"/>
  <c r="BC49" i="30"/>
  <c r="BG49" i="30" s="1"/>
  <c r="BC10" i="30"/>
  <c r="AY10" i="30"/>
  <c r="BB49" i="30"/>
  <c r="BA49" i="30"/>
  <c r="AZ49" i="30"/>
  <c r="AY49" i="30"/>
  <c r="BB48" i="30"/>
  <c r="BA48" i="30"/>
  <c r="AZ48" i="30"/>
  <c r="AY48" i="30"/>
  <c r="BB47" i="30"/>
  <c r="BA47" i="30"/>
  <c r="AZ47" i="30"/>
  <c r="AY47" i="30"/>
  <c r="BB46" i="30"/>
  <c r="BA46" i="30"/>
  <c r="AZ46" i="30"/>
  <c r="AY46" i="30"/>
  <c r="BB45" i="30"/>
  <c r="BA45" i="30"/>
  <c r="AZ45" i="30"/>
  <c r="AY45" i="30"/>
  <c r="BB44" i="30"/>
  <c r="BA44" i="30"/>
  <c r="AZ44" i="30"/>
  <c r="AY44" i="30"/>
  <c r="BB43" i="30"/>
  <c r="BA43" i="30"/>
  <c r="AZ43" i="30"/>
  <c r="AY43" i="30"/>
  <c r="BB42" i="30"/>
  <c r="BA42" i="30"/>
  <c r="AZ42" i="30"/>
  <c r="AY42" i="30"/>
  <c r="BB41" i="30"/>
  <c r="BA41" i="30"/>
  <c r="AZ41" i="30"/>
  <c r="AY41" i="30"/>
  <c r="BB40" i="30"/>
  <c r="BA40" i="30"/>
  <c r="AZ40" i="30"/>
  <c r="AY40" i="30"/>
  <c r="BB39" i="30"/>
  <c r="BA39" i="30"/>
  <c r="AZ39" i="30"/>
  <c r="AY39" i="30"/>
  <c r="BB38" i="30"/>
  <c r="BA38" i="30"/>
  <c r="AZ38" i="30"/>
  <c r="AY38" i="30"/>
  <c r="BB37" i="30"/>
  <c r="BA37" i="30"/>
  <c r="AZ37" i="30"/>
  <c r="AY37" i="30"/>
  <c r="BB36" i="30"/>
  <c r="BA36" i="30"/>
  <c r="AZ36" i="30"/>
  <c r="AY36" i="30"/>
  <c r="BB35" i="30"/>
  <c r="BA35" i="30"/>
  <c r="AZ35" i="30"/>
  <c r="AY35" i="30"/>
  <c r="BB34" i="30"/>
  <c r="BA34" i="30"/>
  <c r="AZ34" i="30"/>
  <c r="AY34" i="30"/>
  <c r="BB33" i="30"/>
  <c r="BA33" i="30"/>
  <c r="AZ33" i="30"/>
  <c r="AY33" i="30"/>
  <c r="BB32" i="30"/>
  <c r="BA32" i="30"/>
  <c r="AZ32" i="30"/>
  <c r="AY32" i="30"/>
  <c r="BB31" i="30"/>
  <c r="BA31" i="30"/>
  <c r="AZ31" i="30"/>
  <c r="AY31" i="30"/>
  <c r="BB30" i="30"/>
  <c r="BA30" i="30"/>
  <c r="AZ30" i="30"/>
  <c r="AY30" i="30"/>
  <c r="BB29" i="30"/>
  <c r="BA29" i="30"/>
  <c r="AZ29" i="30"/>
  <c r="AY29" i="30"/>
  <c r="BB28" i="30"/>
  <c r="BA28" i="30"/>
  <c r="AZ28" i="30"/>
  <c r="AY28" i="30"/>
  <c r="BB27" i="30"/>
  <c r="BA27" i="30"/>
  <c r="AZ27" i="30"/>
  <c r="AY27" i="30"/>
  <c r="BB26" i="30"/>
  <c r="BA26" i="30"/>
  <c r="AZ26" i="30"/>
  <c r="AY26" i="30"/>
  <c r="BB25" i="30"/>
  <c r="BA25" i="30"/>
  <c r="AZ25" i="30"/>
  <c r="AY25" i="30"/>
  <c r="BB24" i="30"/>
  <c r="BA24" i="30"/>
  <c r="AZ24" i="30"/>
  <c r="AY24" i="30"/>
  <c r="BB23" i="30"/>
  <c r="BA23" i="30"/>
  <c r="AZ23" i="30"/>
  <c r="AY23" i="30"/>
  <c r="BB22" i="30"/>
  <c r="BA22" i="30"/>
  <c r="AZ22" i="30"/>
  <c r="AY22" i="30"/>
  <c r="BB21" i="30"/>
  <c r="BA21" i="30"/>
  <c r="AZ21" i="30"/>
  <c r="AY21" i="30"/>
  <c r="BB20" i="30"/>
  <c r="BA20" i="30"/>
  <c r="AZ20" i="30"/>
  <c r="AY20" i="30"/>
  <c r="BB19" i="30"/>
  <c r="BA19" i="30"/>
  <c r="AZ19" i="30"/>
  <c r="AY19" i="30"/>
  <c r="BB18" i="30"/>
  <c r="BA18" i="30"/>
  <c r="AZ18" i="30"/>
  <c r="AY18" i="30"/>
  <c r="BB17" i="30"/>
  <c r="BA17" i="30"/>
  <c r="AZ17" i="30"/>
  <c r="AY17" i="30"/>
  <c r="BB16" i="30"/>
  <c r="BA16" i="30"/>
  <c r="AZ16" i="30"/>
  <c r="AY16" i="30"/>
  <c r="BB15" i="30"/>
  <c r="BA15" i="30"/>
  <c r="AZ15" i="30"/>
  <c r="AY15" i="30"/>
  <c r="BB14" i="30"/>
  <c r="BA14" i="30"/>
  <c r="AZ14" i="30"/>
  <c r="AY14" i="30"/>
  <c r="BB13" i="30"/>
  <c r="BA13" i="30"/>
  <c r="AZ13" i="30"/>
  <c r="AY13" i="30"/>
  <c r="BB12" i="30"/>
  <c r="BA12" i="30"/>
  <c r="AZ12" i="30"/>
  <c r="AY12" i="30"/>
  <c r="BB11" i="30"/>
  <c r="BA11" i="30"/>
  <c r="AZ11" i="30"/>
  <c r="AY11" i="30"/>
  <c r="BB10" i="30"/>
  <c r="BA10" i="30"/>
  <c r="AZ10" i="30"/>
  <c r="AY4" i="30"/>
  <c r="AY3" i="30"/>
  <c r="AY1" i="30"/>
  <c r="BQ16" i="30"/>
  <c r="BK16" i="30"/>
  <c r="BI16" i="30"/>
  <c r="BQ41" i="30"/>
  <c r="BK41" i="30"/>
  <c r="BI41" i="30"/>
  <c r="BL41" i="30" s="1"/>
  <c r="BK15" i="30"/>
  <c r="BI42" i="30"/>
  <c r="BK42" i="30"/>
  <c r="BI15" i="30"/>
  <c r="BL15" i="30"/>
  <c r="BM15" i="30" s="1"/>
  <c r="BK46" i="30" l="1"/>
  <c r="BI46" i="30"/>
  <c r="BQ46" i="30"/>
  <c r="BQ49" i="30"/>
  <c r="BK49" i="30"/>
  <c r="BI49" i="30"/>
  <c r="BI45" i="30"/>
  <c r="BQ45" i="30"/>
  <c r="BK45" i="30"/>
  <c r="BL45" i="30" s="1"/>
  <c r="BQ48" i="30"/>
  <c r="BK48" i="30"/>
  <c r="BI48" i="30"/>
  <c r="BL48" i="30" s="1"/>
  <c r="BI44" i="30"/>
  <c r="BL44" i="30" s="1"/>
  <c r="BM44" i="30" s="1"/>
  <c r="BQ44" i="30"/>
  <c r="BK44" i="30"/>
  <c r="BK12" i="30"/>
  <c r="BL42" i="30"/>
  <c r="BL16" i="30"/>
  <c r="BO16" i="30" s="1"/>
  <c r="BQ15" i="30"/>
  <c r="BQ47" i="30"/>
  <c r="BG43" i="30"/>
  <c r="BQ43" i="30" s="1"/>
  <c r="BQ42" i="30"/>
  <c r="BG10" i="30"/>
  <c r="BO45" i="30"/>
  <c r="BM45" i="30"/>
  <c r="BK47" i="30"/>
  <c r="BL47" i="30" s="1"/>
  <c r="BL49" i="30"/>
  <c r="BO49" i="30" s="1"/>
  <c r="BI12" i="30"/>
  <c r="BG26" i="30"/>
  <c r="BI26" i="30" s="1"/>
  <c r="BK26" i="30"/>
  <c r="BO41" i="30"/>
  <c r="BM41" i="30"/>
  <c r="BO44" i="30"/>
  <c r="BK43" i="30"/>
  <c r="BO42" i="30"/>
  <c r="BM42" i="30"/>
  <c r="BO48" i="30"/>
  <c r="BM48" i="30"/>
  <c r="BM49" i="30"/>
  <c r="BM16" i="30"/>
  <c r="BP16" i="30" s="1"/>
  <c r="BO15" i="30"/>
  <c r="BP15" i="30" s="1"/>
  <c r="BG39" i="30"/>
  <c r="BI39" i="30" s="1"/>
  <c r="BG38" i="30"/>
  <c r="BI38" i="30" s="1"/>
  <c r="BG37" i="30"/>
  <c r="BG34" i="30"/>
  <c r="BG32" i="30"/>
  <c r="BG30" i="30"/>
  <c r="BG29" i="30"/>
  <c r="BG28" i="30"/>
  <c r="BG25" i="30"/>
  <c r="BG24" i="30"/>
  <c r="BG23" i="30"/>
  <c r="BG22" i="30"/>
  <c r="BG21" i="30"/>
  <c r="BG20" i="30"/>
  <c r="BG19" i="30"/>
  <c r="BI19" i="30" s="1"/>
  <c r="BG27" i="30"/>
  <c r="BG40" i="30"/>
  <c r="BG33" i="30"/>
  <c r="BQ33" i="30" s="1"/>
  <c r="BG35" i="30"/>
  <c r="BG36" i="30"/>
  <c r="BG17" i="30"/>
  <c r="BK17" i="30" s="1"/>
  <c r="BL12" i="30"/>
  <c r="BM12" i="30" s="1"/>
  <c r="BQ12" i="30"/>
  <c r="BG11" i="30"/>
  <c r="BK10" i="30"/>
  <c r="BI10" i="30"/>
  <c r="BQ10" i="30"/>
  <c r="BG14" i="30"/>
  <c r="BG13" i="30"/>
  <c r="BG31" i="30"/>
  <c r="BG18" i="30"/>
  <c r="BI40" i="30" l="1"/>
  <c r="BI43" i="30"/>
  <c r="BP41" i="30"/>
  <c r="BL46" i="30"/>
  <c r="BO47" i="30"/>
  <c r="BM47" i="30"/>
  <c r="BP47" i="30" s="1"/>
  <c r="BP45" i="30"/>
  <c r="BP44" i="30"/>
  <c r="BQ26" i="30"/>
  <c r="BL26" i="30"/>
  <c r="BO26" i="30" s="1"/>
  <c r="BL43" i="30"/>
  <c r="BP49" i="30"/>
  <c r="BP42" i="30"/>
  <c r="BQ38" i="30"/>
  <c r="BP48" i="30"/>
  <c r="BQ39" i="30"/>
  <c r="BK39" i="30"/>
  <c r="BL39" i="30" s="1"/>
  <c r="BO39" i="30" s="1"/>
  <c r="BK38" i="30"/>
  <c r="BL38" i="30" s="1"/>
  <c r="BK37" i="30"/>
  <c r="BQ37" i="30"/>
  <c r="BI37" i="30"/>
  <c r="BK34" i="30"/>
  <c r="BQ34" i="30"/>
  <c r="BI34" i="30"/>
  <c r="BK32" i="30"/>
  <c r="BI32" i="30"/>
  <c r="BI30" i="30"/>
  <c r="BK30" i="30"/>
  <c r="BQ30" i="30"/>
  <c r="BI29" i="30"/>
  <c r="BQ29" i="30"/>
  <c r="BK29" i="30"/>
  <c r="BK28" i="30"/>
  <c r="BI28" i="30"/>
  <c r="BL28" i="30" s="1"/>
  <c r="BO28" i="30" s="1"/>
  <c r="BQ28" i="30"/>
  <c r="BQ25" i="30"/>
  <c r="BK25" i="30"/>
  <c r="BI25" i="30"/>
  <c r="BI24" i="30"/>
  <c r="BK24" i="30"/>
  <c r="BQ24" i="30"/>
  <c r="BI23" i="30"/>
  <c r="BK23" i="30"/>
  <c r="BK22" i="30"/>
  <c r="BI22" i="30"/>
  <c r="BQ22" i="30"/>
  <c r="BK21" i="30"/>
  <c r="BI21" i="30"/>
  <c r="BQ21" i="30"/>
  <c r="BK20" i="30"/>
  <c r="BI20" i="30"/>
  <c r="BQ20" i="30"/>
  <c r="BK19" i="30"/>
  <c r="BL19" i="30" s="1"/>
  <c r="BQ19" i="30"/>
  <c r="BK27" i="30"/>
  <c r="BQ27" i="30"/>
  <c r="BI27" i="30"/>
  <c r="BK40" i="30"/>
  <c r="BL40" i="30" s="1"/>
  <c r="BQ40" i="30"/>
  <c r="BI33" i="30"/>
  <c r="BK33" i="30"/>
  <c r="BK35" i="30"/>
  <c r="BI35" i="30"/>
  <c r="BQ35" i="30"/>
  <c r="BI36" i="30"/>
  <c r="BK36" i="30"/>
  <c r="BQ36" i="30"/>
  <c r="BI17" i="30"/>
  <c r="BL17" i="30" s="1"/>
  <c r="BO17" i="30" s="1"/>
  <c r="BQ17" i="30"/>
  <c r="BO12" i="30"/>
  <c r="BP12" i="30" s="1"/>
  <c r="BI11" i="30"/>
  <c r="BK11" i="30"/>
  <c r="BQ11" i="30"/>
  <c r="BL10" i="30"/>
  <c r="BQ14" i="30"/>
  <c r="BK14" i="30"/>
  <c r="BI14" i="30"/>
  <c r="BQ13" i="30"/>
  <c r="BI13" i="30"/>
  <c r="BK13" i="30"/>
  <c r="BK31" i="30"/>
  <c r="BI31" i="30"/>
  <c r="BQ31" i="30"/>
  <c r="BK18" i="30"/>
  <c r="BI18" i="30"/>
  <c r="BM40" i="30" l="1"/>
  <c r="BL34" i="30"/>
  <c r="BO34" i="30" s="1"/>
  <c r="BO46" i="30"/>
  <c r="BM46" i="30"/>
  <c r="BP46" i="30" s="1"/>
  <c r="BL13" i="30"/>
  <c r="BO13" i="30" s="1"/>
  <c r="BL18" i="30"/>
  <c r="BL36" i="30"/>
  <c r="BO36" i="30" s="1"/>
  <c r="BL22" i="30"/>
  <c r="BO22" i="30" s="1"/>
  <c r="BL37" i="30"/>
  <c r="BO37" i="30" s="1"/>
  <c r="BL27" i="30"/>
  <c r="BO27" i="30" s="1"/>
  <c r="BL20" i="30"/>
  <c r="BO20" i="30" s="1"/>
  <c r="BM26" i="30"/>
  <c r="BP26" i="30" s="1"/>
  <c r="BL21" i="30"/>
  <c r="BO21" i="30" s="1"/>
  <c r="BL32" i="30"/>
  <c r="BL31" i="30"/>
  <c r="BO31" i="30" s="1"/>
  <c r="BO43" i="30"/>
  <c r="BM43" i="30"/>
  <c r="BO40" i="30"/>
  <c r="BP40" i="30" s="1"/>
  <c r="BM39" i="30"/>
  <c r="BP39" i="30" s="1"/>
  <c r="BO38" i="30"/>
  <c r="BM38" i="30"/>
  <c r="BM34" i="30"/>
  <c r="BP34" i="30" s="1"/>
  <c r="BL30" i="30"/>
  <c r="BL29" i="30"/>
  <c r="BM28" i="30"/>
  <c r="BP28" i="30" s="1"/>
  <c r="BL25" i="30"/>
  <c r="BO25" i="30" s="1"/>
  <c r="BL24" i="30"/>
  <c r="BL23" i="30"/>
  <c r="BM22" i="30"/>
  <c r="BP22" i="30" s="1"/>
  <c r="BO19" i="30"/>
  <c r="BM19" i="30"/>
  <c r="BL33" i="30"/>
  <c r="BO33" i="30" s="1"/>
  <c r="BL35" i="30"/>
  <c r="BO35" i="30" s="1"/>
  <c r="BM17" i="30"/>
  <c r="BP17" i="30" s="1"/>
  <c r="BL11" i="30"/>
  <c r="BO10" i="30"/>
  <c r="BM10" i="30"/>
  <c r="BL14" i="30"/>
  <c r="BO14" i="30" s="1"/>
  <c r="BM13" i="30"/>
  <c r="BP13" i="30" s="1"/>
  <c r="BM18" i="30"/>
  <c r="BO18" i="30" l="1"/>
  <c r="BP18" i="30" s="1"/>
  <c r="BM32" i="30"/>
  <c r="BM37" i="30"/>
  <c r="BP37" i="30" s="1"/>
  <c r="BM36" i="30"/>
  <c r="BP36" i="30" s="1"/>
  <c r="BP19" i="30"/>
  <c r="BP43" i="30"/>
  <c r="BO32" i="30"/>
  <c r="BP32" i="30" s="1"/>
  <c r="BM27" i="30"/>
  <c r="BP27" i="30" s="1"/>
  <c r="BO23" i="30"/>
  <c r="BM20" i="30"/>
  <c r="BP20" i="30" s="1"/>
  <c r="BM31" i="30"/>
  <c r="BP31" i="30" s="1"/>
  <c r="BM21" i="30"/>
  <c r="BP21" i="30" s="1"/>
  <c r="BP38" i="30"/>
  <c r="BO30" i="30"/>
  <c r="BM30" i="30"/>
  <c r="BP30" i="30" s="1"/>
  <c r="BO29" i="30"/>
  <c r="BM29" i="30"/>
  <c r="BM25" i="30"/>
  <c r="BP25" i="30" s="1"/>
  <c r="BO24" i="30"/>
  <c r="BM24" i="30"/>
  <c r="BM23" i="30"/>
  <c r="BP23" i="30" s="1"/>
  <c r="BM33" i="30"/>
  <c r="BP33" i="30" s="1"/>
  <c r="BM35" i="30"/>
  <c r="BP35" i="30" s="1"/>
  <c r="BO11" i="30"/>
  <c r="BM11" i="30"/>
  <c r="BP10" i="30"/>
  <c r="BM14" i="30"/>
  <c r="BP14" i="30" s="1"/>
  <c r="BQ23" i="30" l="1"/>
  <c r="BQ18" i="30"/>
  <c r="BQ32" i="30"/>
  <c r="BP29" i="30"/>
  <c r="BP24" i="30"/>
  <c r="BP11" i="30"/>
</calcChain>
</file>

<file path=xl/sharedStrings.xml><?xml version="1.0" encoding="utf-8"?>
<sst xmlns="http://schemas.openxmlformats.org/spreadsheetml/2006/main" count="89" uniqueCount="44">
  <si>
    <t>CENTRO EDUCATIVO EN ARTES 
BENITO JUÁREZ</t>
  </si>
  <si>
    <t>ÁREA/TÉCNICA: LENGUAJE VISUAL, DIBUJO Y CREACIÓN DE PERSONAJES</t>
  </si>
  <si>
    <t>MAESTRO/A: ERICK HERNANDEZ</t>
  </si>
  <si>
    <t>REGISTRO DE CALIFICACIONES  POR MES DE 4TO. A MENCIÓN MULTIMEDIA (AÑO ESCOLAR 2025-2026)</t>
  </si>
  <si>
    <t>REGISTRO DE CALIFICACIONES  POR PERIODOS DE 4TO. A MENCIÓN MULTIMEDIA (AÑO ESCOLAR 2025-2026)</t>
  </si>
  <si>
    <t>ALUMNOS</t>
  </si>
  <si>
    <t xml:space="preserve">1. Argumenta el rol del lenguaje visual y artesanal y su evolución atreves de la historia.  </t>
  </si>
  <si>
    <t xml:space="preserve">2. Identifica los principales elementos presentes en el lenguaje visual y artesanal como formas, estructuras, colores, texturas, figura-fondo, composición, luz y sombras, tamaños, escalas, equilibrios, unidad, variedad espacialidades, materiales y formatos. </t>
  </si>
  <si>
    <t xml:space="preserve">3. Analiza aspectos connotativos y denotativos de imágenes de diferentes estilos artísticos. </t>
  </si>
  <si>
    <t xml:space="preserve">4. Elabora obras artísticas visuales y artesanales haciendo uso de los elementos básicos y técnicas. </t>
  </si>
  <si>
    <t xml:space="preserve">5. Describe las características extrínsecas (aspecto físico) e intrínsecas (personalidad) de los personajes ya existentes.  </t>
  </si>
  <si>
    <t xml:space="preserve">6.  Comprende el método de organización de la información para el desarrollo de la personalidad del personaje. </t>
  </si>
  <si>
    <t>7.  Diseña con formas geométricas básicas la estructura interna del personaje.</t>
  </si>
  <si>
    <t xml:space="preserve">8.  Desarrolla conceptos físicos del personaje, aplica el model sheet.  </t>
  </si>
  <si>
    <t>9. Digitaliza los personajes y sus elementos evidenciándose la aplicación del color, texturas, profundidad, perspectiva y detalles realizados con la tableta gráfica dentro de photoshop.</t>
  </si>
  <si>
    <t>PORCENTAJE DE ASISTENCIA POR PERIODO</t>
  </si>
  <si>
    <t>Calificación del Año Escolar</t>
  </si>
  <si>
    <t>% A. Anual</t>
  </si>
  <si>
    <t>Calificación Completiva</t>
  </si>
  <si>
    <t>Calificación Extraordinaria</t>
  </si>
  <si>
    <t>Situación Final</t>
  </si>
  <si>
    <t xml:space="preserve"> Periodo I</t>
  </si>
  <si>
    <t>Periodo II</t>
  </si>
  <si>
    <t>Periodo III</t>
  </si>
  <si>
    <t>Periodo IV</t>
  </si>
  <si>
    <t>Promedio CF</t>
  </si>
  <si>
    <t>50% C.F</t>
  </si>
  <si>
    <t>C.P.C</t>
  </si>
  <si>
    <t>50% C.P.C</t>
  </si>
  <si>
    <t>C.C</t>
  </si>
  <si>
    <t>30% C.F</t>
  </si>
  <si>
    <t>C.P.Ex</t>
  </si>
  <si>
    <t>70% C.P.Ex</t>
  </si>
  <si>
    <t>C.Ex</t>
  </si>
  <si>
    <t>Aprobado/Reprobado</t>
  </si>
  <si>
    <t>#</t>
  </si>
  <si>
    <t>Nombres</t>
  </si>
  <si>
    <t>Apellidos</t>
  </si>
  <si>
    <t>Codición Actual</t>
  </si>
  <si>
    <t>P1</t>
  </si>
  <si>
    <t>P2</t>
  </si>
  <si>
    <t>P3</t>
  </si>
  <si>
    <t>P4</t>
  </si>
  <si>
    <t xml:space="preserve">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</si>
</sst>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2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rgb="FFC00000"/>
      <name val="Calibri"/>
      <family val="2"/>
      <scheme val="minor"/>
    </font>
    <font>
      <b/>
      <sz val="12"/>
      <color theme="0"/>
      <name val="Times New Roman"/>
      <family val="1"/>
    </font>
    <font>
      <b/>
      <sz val="20"/>
      <color theme="0"/>
      <name val="Times New Roman"/>
      <family val="1"/>
    </font>
    <font>
      <b/>
      <sz val="28"/>
      <color rgb="FF000000"/>
      <name val="Times New Roman"/>
      <family val="1"/>
    </font>
    <font>
      <b/>
      <sz val="18"/>
      <color rgb="FF000000"/>
      <name val="Times New Roman"/>
      <family val="1"/>
    </font>
    <font>
      <sz val="11"/>
      <color theme="1"/>
      <name val="Calibri"/>
      <family val="2"/>
      <scheme val="minor"/>
    </font>
    <font>
      <b/>
      <sz val="14"/>
      <color rgb="FFC00000"/>
      <name val="Times New Roman"/>
      <family val="1"/>
    </font>
    <font>
      <sz val="14"/>
      <color rgb="FF00000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5" tint="0.39997558519241921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126">
    <xf numFmtId="0" fontId="0" fillId="0" borderId="0" xfId="0"/>
    <xf numFmtId="0" fontId="3" fillId="2" borderId="6" xfId="0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hidden="1"/>
    </xf>
    <xf numFmtId="0" fontId="0" fillId="2" borderId="0" xfId="0" applyFill="1" applyProtection="1">
      <protection hidden="1"/>
    </xf>
    <xf numFmtId="1" fontId="4" fillId="2" borderId="2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7" xfId="0" applyNumberFormat="1" applyFont="1" applyFill="1" applyBorder="1" applyAlignment="1" applyProtection="1">
      <alignment horizontal="center" vertical="center" wrapText="1"/>
      <protection hidden="1"/>
    </xf>
    <xf numFmtId="0" fontId="0" fillId="4" borderId="0" xfId="0" applyFill="1" applyProtection="1">
      <protection hidden="1"/>
    </xf>
    <xf numFmtId="0" fontId="6" fillId="2" borderId="0" xfId="0" applyFont="1" applyFill="1" applyProtection="1">
      <protection hidden="1"/>
    </xf>
    <xf numFmtId="1" fontId="4" fillId="2" borderId="25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1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6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3" xfId="0" applyFont="1" applyBorder="1" applyAlignment="1" applyProtection="1">
      <alignment horizontal="left" vertical="center"/>
      <protection hidden="1"/>
    </xf>
    <xf numFmtId="0" fontId="3" fillId="0" borderId="7" xfId="0" applyFont="1" applyBorder="1" applyAlignment="1" applyProtection="1">
      <alignment horizontal="left" vertical="center"/>
      <protection hidden="1"/>
    </xf>
    <xf numFmtId="0" fontId="3" fillId="0" borderId="8" xfId="0" applyFont="1" applyBorder="1" applyAlignment="1" applyProtection="1">
      <alignment horizontal="left" vertical="center"/>
      <protection hidden="1"/>
    </xf>
    <xf numFmtId="0" fontId="7" fillId="5" borderId="22" xfId="0" applyFont="1" applyFill="1" applyBorder="1" applyAlignment="1" applyProtection="1">
      <alignment horizontal="center" vertical="center" wrapText="1"/>
      <protection hidden="1"/>
    </xf>
    <xf numFmtId="0" fontId="3" fillId="0" borderId="11" xfId="0" applyFont="1" applyBorder="1" applyAlignment="1" applyProtection="1">
      <alignment horizontal="left" vertical="center"/>
      <protection hidden="1"/>
    </xf>
    <xf numFmtId="1" fontId="4" fillId="2" borderId="3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8" xfId="0" applyNumberFormat="1" applyFont="1" applyFill="1" applyBorder="1" applyAlignment="1" applyProtection="1">
      <alignment horizontal="center" vertical="center" wrapText="1"/>
      <protection hidden="1"/>
    </xf>
    <xf numFmtId="1" fontId="2" fillId="2" borderId="29" xfId="0" applyNumberFormat="1" applyFont="1" applyFill="1" applyBorder="1" applyAlignment="1" applyProtection="1">
      <alignment horizontal="center" vertical="center" wrapText="1"/>
      <protection hidden="1"/>
    </xf>
    <xf numFmtId="1" fontId="2" fillId="2" borderId="17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11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24" xfId="0" applyNumberFormat="1" applyFont="1" applyFill="1" applyBorder="1" applyAlignment="1" applyProtection="1">
      <alignment horizontal="center" vertical="center" wrapText="1"/>
      <protection hidden="1"/>
    </xf>
    <xf numFmtId="0" fontId="2" fillId="10" borderId="30" xfId="0" applyFont="1" applyFill="1" applyBorder="1" applyAlignment="1" applyProtection="1">
      <alignment horizontal="center" vertical="center" wrapText="1"/>
      <protection hidden="1"/>
    </xf>
    <xf numFmtId="0" fontId="2" fillId="10" borderId="31" xfId="0" applyFont="1" applyFill="1" applyBorder="1" applyAlignment="1" applyProtection="1">
      <alignment horizontal="center" vertical="center" wrapText="1"/>
      <protection hidden="1"/>
    </xf>
    <xf numFmtId="0" fontId="15" fillId="0" borderId="0" xfId="0" applyFont="1" applyProtection="1">
      <protection hidden="1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21" xfId="0" applyFont="1" applyBorder="1" applyAlignment="1" applyProtection="1">
      <alignment horizontal="left" vertical="center"/>
      <protection hidden="1"/>
    </xf>
    <xf numFmtId="1" fontId="4" fillId="2" borderId="35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36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37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38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39" xfId="0" applyNumberFormat="1" applyFont="1" applyFill="1" applyBorder="1" applyAlignment="1" applyProtection="1">
      <alignment horizontal="center" vertical="center" wrapText="1"/>
      <protection hidden="1"/>
    </xf>
    <xf numFmtId="1" fontId="5" fillId="2" borderId="29" xfId="0" applyNumberFormat="1" applyFont="1" applyFill="1" applyBorder="1" applyAlignment="1" applyProtection="1">
      <alignment horizontal="center" vertical="center" wrapText="1"/>
      <protection hidden="1"/>
    </xf>
    <xf numFmtId="1" fontId="5" fillId="2" borderId="17" xfId="0" applyNumberFormat="1" applyFont="1" applyFill="1" applyBorder="1" applyAlignment="1" applyProtection="1">
      <alignment horizontal="center" vertical="center" wrapText="1"/>
      <protection hidden="1"/>
    </xf>
    <xf numFmtId="1" fontId="5" fillId="2" borderId="1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/>
      <protection hidden="1"/>
    </xf>
    <xf numFmtId="0" fontId="3" fillId="0" borderId="4" xfId="0" applyFont="1" applyBorder="1" applyAlignment="1" applyProtection="1">
      <alignment horizontal="center" vertical="center"/>
      <protection hidden="1"/>
    </xf>
    <xf numFmtId="0" fontId="3" fillId="0" borderId="19" xfId="0" applyFont="1" applyBorder="1" applyAlignment="1" applyProtection="1">
      <alignment horizontal="center" vertical="center"/>
      <protection hidden="1"/>
    </xf>
    <xf numFmtId="0" fontId="3" fillId="0" borderId="27" xfId="0" applyFont="1" applyBorder="1" applyAlignment="1" applyProtection="1">
      <alignment horizontal="center" vertical="center"/>
      <protection hidden="1"/>
    </xf>
    <xf numFmtId="0" fontId="2" fillId="10" borderId="33" xfId="0" applyFont="1" applyFill="1" applyBorder="1" applyAlignment="1" applyProtection="1">
      <alignment horizontal="center" vertical="center" wrapText="1"/>
      <protection hidden="1"/>
    </xf>
    <xf numFmtId="0" fontId="2" fillId="10" borderId="34" xfId="0" applyFont="1" applyFill="1" applyBorder="1" applyAlignment="1" applyProtection="1">
      <alignment horizontal="center" vertical="center" wrapText="1"/>
      <protection hidden="1"/>
    </xf>
    <xf numFmtId="0" fontId="7" fillId="5" borderId="23" xfId="0" applyFont="1" applyFill="1" applyBorder="1" applyAlignment="1" applyProtection="1">
      <alignment horizontal="center" vertical="center" wrapText="1"/>
      <protection hidden="1"/>
    </xf>
    <xf numFmtId="9" fontId="2" fillId="12" borderId="30" xfId="1" applyFont="1" applyFill="1" applyBorder="1" applyAlignment="1" applyProtection="1">
      <alignment vertical="center"/>
      <protection hidden="1"/>
    </xf>
    <xf numFmtId="9" fontId="2" fillId="12" borderId="31" xfId="1" applyFont="1" applyFill="1" applyBorder="1" applyAlignment="1" applyProtection="1">
      <alignment vertical="center"/>
      <protection hidden="1"/>
    </xf>
    <xf numFmtId="9" fontId="2" fillId="12" borderId="32" xfId="1" applyFont="1" applyFill="1" applyBorder="1" applyAlignment="1" applyProtection="1">
      <alignment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0" fontId="3" fillId="0" borderId="24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center" vertical="center"/>
      <protection hidden="1"/>
    </xf>
    <xf numFmtId="0" fontId="3" fillId="0" borderId="25" xfId="0" applyFont="1" applyBorder="1" applyAlignment="1" applyProtection="1">
      <alignment horizontal="left" vertical="center"/>
      <protection hidden="1"/>
    </xf>
    <xf numFmtId="0" fontId="3" fillId="0" borderId="10" xfId="0" applyFont="1" applyBorder="1" applyAlignment="1" applyProtection="1">
      <alignment horizontal="center" vertical="center"/>
      <protection hidden="1"/>
    </xf>
    <xf numFmtId="0" fontId="3" fillId="0" borderId="40" xfId="0" applyFont="1" applyBorder="1" applyAlignment="1" applyProtection="1">
      <alignment horizontal="left" vertical="center"/>
      <protection hidden="1"/>
    </xf>
    <xf numFmtId="0" fontId="2" fillId="2" borderId="24" xfId="0" applyFont="1" applyFill="1" applyBorder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1" fontId="4" fillId="2" borderId="40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10" xfId="0" applyNumberFormat="1" applyFont="1" applyFill="1" applyBorder="1" applyAlignment="1" applyProtection="1">
      <alignment horizontal="center" vertical="center" wrapText="1"/>
      <protection hidden="1"/>
    </xf>
    <xf numFmtId="0" fontId="2" fillId="2" borderId="4" xfId="0" applyFont="1" applyFill="1" applyBorder="1" applyAlignment="1" applyProtection="1">
      <alignment horizontal="center" vertical="center" wrapText="1"/>
      <protection hidden="1"/>
    </xf>
    <xf numFmtId="1" fontId="13" fillId="11" borderId="19" xfId="0" applyNumberFormat="1" applyFont="1" applyFill="1" applyBorder="1" applyAlignment="1" applyProtection="1">
      <alignment horizontal="center" vertical="center" wrapText="1"/>
      <protection hidden="1"/>
    </xf>
    <xf numFmtId="1" fontId="12" fillId="11" borderId="19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19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27" xfId="0" applyNumberFormat="1" applyFont="1" applyFill="1" applyBorder="1" applyAlignment="1" applyProtection="1">
      <alignment horizontal="center" vertical="center" wrapText="1"/>
      <protection hidden="1"/>
    </xf>
    <xf numFmtId="1" fontId="4" fillId="8" borderId="2" xfId="0" applyNumberFormat="1" applyFont="1" applyFill="1" applyBorder="1" applyAlignment="1" applyProtection="1">
      <alignment horizontal="center" vertical="center" wrapText="1"/>
      <protection hidden="1"/>
    </xf>
    <xf numFmtId="1" fontId="4" fillId="8" borderId="7" xfId="0" applyNumberFormat="1" applyFont="1" applyFill="1" applyBorder="1" applyAlignment="1" applyProtection="1">
      <alignment horizontal="center" vertical="center" wrapText="1"/>
      <protection hidden="1"/>
    </xf>
    <xf numFmtId="0" fontId="14" fillId="4" borderId="13" xfId="0" applyFont="1" applyFill="1" applyBorder="1" applyAlignment="1" applyProtection="1">
      <alignment horizontal="center" vertical="center" wrapText="1"/>
      <protection hidden="1"/>
    </xf>
    <xf numFmtId="0" fontId="14" fillId="4" borderId="14" xfId="0" applyFont="1" applyFill="1" applyBorder="1" applyAlignment="1" applyProtection="1">
      <alignment horizontal="center" vertical="center" wrapText="1"/>
      <protection hidden="1"/>
    </xf>
    <xf numFmtId="0" fontId="14" fillId="4" borderId="5" xfId="0" applyFont="1" applyFill="1" applyBorder="1" applyAlignment="1" applyProtection="1">
      <alignment horizontal="center" vertical="center" wrapText="1"/>
      <protection hidden="1"/>
    </xf>
    <xf numFmtId="0" fontId="14" fillId="4" borderId="28" xfId="0" applyFont="1" applyFill="1" applyBorder="1" applyAlignment="1" applyProtection="1">
      <alignment horizontal="center" vertical="center" wrapText="1"/>
      <protection hidden="1"/>
    </xf>
    <xf numFmtId="0" fontId="14" fillId="4" borderId="0" xfId="0" applyFont="1" applyFill="1" applyAlignment="1" applyProtection="1">
      <alignment horizontal="center" vertical="center" wrapText="1"/>
      <protection hidden="1"/>
    </xf>
    <xf numFmtId="0" fontId="14" fillId="4" borderId="9" xfId="0" applyFont="1" applyFill="1" applyBorder="1" applyAlignment="1" applyProtection="1">
      <alignment horizontal="center" vertical="center" wrapText="1"/>
      <protection hidden="1"/>
    </xf>
    <xf numFmtId="0" fontId="14" fillId="12" borderId="13" xfId="0" applyFont="1" applyFill="1" applyBorder="1" applyAlignment="1" applyProtection="1">
      <alignment horizontal="center" vertical="center" wrapText="1"/>
      <protection hidden="1"/>
    </xf>
    <xf numFmtId="0" fontId="14" fillId="12" borderId="14" xfId="0" applyFont="1" applyFill="1" applyBorder="1" applyAlignment="1" applyProtection="1">
      <alignment horizontal="center" vertical="center" wrapText="1"/>
      <protection hidden="1"/>
    </xf>
    <xf numFmtId="0" fontId="14" fillId="12" borderId="5" xfId="0" applyFont="1" applyFill="1" applyBorder="1" applyAlignment="1" applyProtection="1">
      <alignment horizontal="center" vertical="center" wrapText="1"/>
      <protection hidden="1"/>
    </xf>
    <xf numFmtId="0" fontId="14" fillId="12" borderId="28" xfId="0" applyFont="1" applyFill="1" applyBorder="1" applyAlignment="1" applyProtection="1">
      <alignment horizontal="center" vertical="center" wrapText="1"/>
      <protection hidden="1"/>
    </xf>
    <xf numFmtId="0" fontId="14" fillId="12" borderId="0" xfId="0" applyFont="1" applyFill="1" applyAlignment="1" applyProtection="1">
      <alignment horizontal="center" vertical="center" wrapText="1"/>
      <protection hidden="1"/>
    </xf>
    <xf numFmtId="0" fontId="14" fillId="12" borderId="9" xfId="0" applyFont="1" applyFill="1" applyBorder="1" applyAlignment="1" applyProtection="1">
      <alignment horizontal="center" vertical="center" wrapText="1"/>
      <protection hidden="1"/>
    </xf>
    <xf numFmtId="0" fontId="9" fillId="0" borderId="13" xfId="0" applyFont="1" applyBorder="1" applyAlignment="1" applyProtection="1">
      <alignment horizontal="center" vertical="center" wrapText="1"/>
      <protection hidden="1"/>
    </xf>
    <xf numFmtId="0" fontId="9" fillId="0" borderId="14" xfId="0" applyFont="1" applyBorder="1" applyAlignment="1" applyProtection="1">
      <alignment horizontal="center" vertical="center" wrapText="1"/>
      <protection hidden="1"/>
    </xf>
    <xf numFmtId="0" fontId="9" fillId="0" borderId="5" xfId="0" applyFont="1" applyBorder="1" applyAlignment="1" applyProtection="1">
      <alignment horizontal="center" vertical="center" wrapText="1"/>
      <protection hidden="1"/>
    </xf>
    <xf numFmtId="0" fontId="9" fillId="0" borderId="28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9" xfId="0" applyFont="1" applyBorder="1" applyAlignment="1" applyProtection="1">
      <alignment horizontal="center" vertical="center" wrapText="1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10" fillId="0" borderId="28" xfId="0" applyFont="1" applyBorder="1" applyAlignment="1" applyProtection="1">
      <alignment horizontal="center" vertical="center"/>
      <protection hidden="1"/>
    </xf>
    <xf numFmtId="0" fontId="10" fillId="0" borderId="9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 wrapText="1"/>
      <protection hidden="1"/>
    </xf>
    <xf numFmtId="0" fontId="1" fillId="0" borderId="28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0" borderId="9" xfId="0" applyFont="1" applyBorder="1" applyAlignment="1" applyProtection="1">
      <alignment horizontal="center" vertical="center"/>
      <protection hidden="1"/>
    </xf>
    <xf numFmtId="0" fontId="1" fillId="0" borderId="16" xfId="0" applyFont="1" applyBorder="1" applyAlignment="1" applyProtection="1">
      <alignment horizontal="center" vertical="center"/>
      <protection hidden="1"/>
    </xf>
    <xf numFmtId="0" fontId="1" fillId="0" borderId="15" xfId="0" applyFont="1" applyBorder="1" applyAlignment="1" applyProtection="1">
      <alignment horizontal="center" vertical="center"/>
      <protection hidden="1"/>
    </xf>
    <xf numFmtId="0" fontId="1" fillId="0" borderId="12" xfId="0" applyFont="1" applyBorder="1" applyAlignment="1" applyProtection="1">
      <alignment horizontal="center" vertical="center"/>
      <protection hidden="1"/>
    </xf>
    <xf numFmtId="0" fontId="8" fillId="5" borderId="13" xfId="0" applyFont="1" applyFill="1" applyBorder="1" applyAlignment="1" applyProtection="1">
      <alignment horizontal="center" vertical="center" wrapText="1"/>
      <protection hidden="1"/>
    </xf>
    <xf numFmtId="0" fontId="8" fillId="5" borderId="14" xfId="0" applyFont="1" applyFill="1" applyBorder="1" applyAlignment="1" applyProtection="1">
      <alignment horizontal="center" vertical="center" wrapText="1"/>
      <protection hidden="1"/>
    </xf>
    <xf numFmtId="0" fontId="8" fillId="5" borderId="5" xfId="0" applyFont="1" applyFill="1" applyBorder="1" applyAlignment="1" applyProtection="1">
      <alignment horizontal="center" vertical="center" wrapText="1"/>
      <protection hidden="1"/>
    </xf>
    <xf numFmtId="0" fontId="8" fillId="5" borderId="28" xfId="0" applyFont="1" applyFill="1" applyBorder="1" applyAlignment="1" applyProtection="1">
      <alignment horizontal="center" vertical="center" wrapText="1"/>
      <protection hidden="1"/>
    </xf>
    <xf numFmtId="0" fontId="8" fillId="5" borderId="0" xfId="0" applyFont="1" applyFill="1" applyAlignment="1" applyProtection="1">
      <alignment horizontal="center" vertical="center" wrapText="1"/>
      <protection hidden="1"/>
    </xf>
    <xf numFmtId="0" fontId="8" fillId="5" borderId="9" xfId="0" applyFont="1" applyFill="1" applyBorder="1" applyAlignment="1" applyProtection="1">
      <alignment horizontal="center" vertical="center" wrapText="1"/>
      <protection hidden="1"/>
    </xf>
    <xf numFmtId="0" fontId="2" fillId="7" borderId="13" xfId="0" applyFont="1" applyFill="1" applyBorder="1" applyAlignment="1" applyProtection="1">
      <alignment horizontal="center" vertical="center" wrapText="1"/>
      <protection hidden="1"/>
    </xf>
    <xf numFmtId="0" fontId="2" fillId="7" borderId="14" xfId="0" applyFont="1" applyFill="1" applyBorder="1" applyAlignment="1" applyProtection="1">
      <alignment horizontal="center" vertical="center" wrapText="1"/>
      <protection hidden="1"/>
    </xf>
    <xf numFmtId="0" fontId="2" fillId="7" borderId="5" xfId="0" applyFont="1" applyFill="1" applyBorder="1" applyAlignment="1" applyProtection="1">
      <alignment horizontal="center" vertical="center" wrapText="1"/>
      <protection hidden="1"/>
    </xf>
    <xf numFmtId="0" fontId="2" fillId="7" borderId="15" xfId="0" applyFont="1" applyFill="1" applyBorder="1" applyAlignment="1" applyProtection="1">
      <alignment horizontal="center" vertical="center" wrapText="1"/>
      <protection hidden="1"/>
    </xf>
    <xf numFmtId="0" fontId="2" fillId="7" borderId="16" xfId="0" applyFont="1" applyFill="1" applyBorder="1" applyAlignment="1" applyProtection="1">
      <alignment horizontal="center" vertical="center" wrapText="1"/>
      <protection hidden="1"/>
    </xf>
    <xf numFmtId="0" fontId="2" fillId="7" borderId="12" xfId="0" applyFont="1" applyFill="1" applyBorder="1" applyAlignment="1" applyProtection="1">
      <alignment horizontal="center" vertical="center" wrapText="1"/>
      <protection hidden="1"/>
    </xf>
    <xf numFmtId="0" fontId="2" fillId="2" borderId="5" xfId="0" applyFont="1" applyFill="1" applyBorder="1" applyAlignment="1" applyProtection="1">
      <alignment horizontal="center" textRotation="90" wrapText="1"/>
      <protection hidden="1"/>
    </xf>
    <xf numFmtId="0" fontId="2" fillId="2" borderId="9" xfId="0" applyFont="1" applyFill="1" applyBorder="1" applyAlignment="1" applyProtection="1">
      <alignment horizontal="center" textRotation="90" wrapText="1"/>
      <protection hidden="1"/>
    </xf>
    <xf numFmtId="0" fontId="2" fillId="3" borderId="13" xfId="0" applyFont="1" applyFill="1" applyBorder="1" applyAlignment="1" applyProtection="1">
      <alignment horizontal="center" vertical="center" wrapText="1"/>
      <protection hidden="1"/>
    </xf>
    <xf numFmtId="0" fontId="2" fillId="3" borderId="14" xfId="0" applyFont="1" applyFill="1" applyBorder="1" applyAlignment="1" applyProtection="1">
      <alignment horizontal="center" vertical="center" wrapText="1"/>
      <protection hidden="1"/>
    </xf>
    <xf numFmtId="0" fontId="2" fillId="3" borderId="5" xfId="0" applyFont="1" applyFill="1" applyBorder="1" applyAlignment="1" applyProtection="1">
      <alignment horizontal="center" vertical="center" wrapText="1"/>
      <protection hidden="1"/>
    </xf>
    <xf numFmtId="0" fontId="2" fillId="3" borderId="15" xfId="0" applyFont="1" applyFill="1" applyBorder="1" applyAlignment="1" applyProtection="1">
      <alignment horizontal="center" vertical="center" wrapText="1"/>
      <protection hidden="1"/>
    </xf>
    <xf numFmtId="0" fontId="2" fillId="3" borderId="16" xfId="0" applyFont="1" applyFill="1" applyBorder="1" applyAlignment="1" applyProtection="1">
      <alignment horizontal="center" vertical="center" wrapText="1"/>
      <protection hidden="1"/>
    </xf>
    <xf numFmtId="0" fontId="2" fillId="3" borderId="12" xfId="0" applyFont="1" applyFill="1" applyBorder="1" applyAlignment="1" applyProtection="1">
      <alignment horizontal="center" vertical="center" wrapText="1"/>
      <protection hidden="1"/>
    </xf>
    <xf numFmtId="0" fontId="2" fillId="6" borderId="13" xfId="0" applyFont="1" applyFill="1" applyBorder="1" applyAlignment="1" applyProtection="1">
      <alignment horizontal="center" vertical="center"/>
      <protection hidden="1"/>
    </xf>
    <xf numFmtId="0" fontId="2" fillId="6" borderId="14" xfId="0" applyFont="1" applyFill="1" applyBorder="1" applyAlignment="1" applyProtection="1">
      <alignment horizontal="center" vertical="center"/>
      <protection hidden="1"/>
    </xf>
    <xf numFmtId="0" fontId="2" fillId="6" borderId="5" xfId="0" applyFont="1" applyFill="1" applyBorder="1" applyAlignment="1" applyProtection="1">
      <alignment horizontal="center" vertical="center"/>
      <protection hidden="1"/>
    </xf>
    <xf numFmtId="0" fontId="2" fillId="6" borderId="15" xfId="0" applyFont="1" applyFill="1" applyBorder="1" applyAlignment="1" applyProtection="1">
      <alignment horizontal="center" vertical="center"/>
      <protection hidden="1"/>
    </xf>
    <xf numFmtId="0" fontId="2" fillId="6" borderId="16" xfId="0" applyFont="1" applyFill="1" applyBorder="1" applyAlignment="1" applyProtection="1">
      <alignment horizontal="center" vertical="center"/>
      <protection hidden="1"/>
    </xf>
    <xf numFmtId="0" fontId="2" fillId="6" borderId="12" xfId="0" applyFont="1" applyFill="1" applyBorder="1" applyAlignment="1" applyProtection="1">
      <alignment horizontal="center" vertical="center"/>
      <protection hidden="1"/>
    </xf>
    <xf numFmtId="0" fontId="2" fillId="9" borderId="22" xfId="0" applyFont="1" applyFill="1" applyBorder="1" applyAlignment="1" applyProtection="1">
      <alignment horizontal="center" vertical="center" wrapText="1"/>
      <protection hidden="1"/>
    </xf>
    <xf numFmtId="0" fontId="2" fillId="9" borderId="26" xfId="0" applyFont="1" applyFill="1" applyBorder="1" applyAlignment="1" applyProtection="1">
      <alignment horizontal="center" vertical="center" wrapText="1"/>
      <protection hidden="1"/>
    </xf>
    <xf numFmtId="0" fontId="2" fillId="3" borderId="23" xfId="0" applyFont="1" applyFill="1" applyBorder="1" applyAlignment="1" applyProtection="1">
      <alignment horizontal="center" vertical="center" textRotation="90" wrapText="1"/>
      <protection hidden="1"/>
    </xf>
    <xf numFmtId="0" fontId="2" fillId="7" borderId="22" xfId="0" applyFont="1" applyFill="1" applyBorder="1" applyAlignment="1" applyProtection="1">
      <alignment horizontal="center" vertical="center" textRotation="90" wrapText="1"/>
      <protection hidden="1"/>
    </xf>
    <xf numFmtId="0" fontId="2" fillId="7" borderId="26" xfId="0" applyFont="1" applyFill="1" applyBorder="1" applyAlignment="1" applyProtection="1">
      <alignment horizontal="center" vertical="center" textRotation="90" wrapText="1"/>
      <protection hidden="1"/>
    </xf>
    <xf numFmtId="0" fontId="2" fillId="6" borderId="22" xfId="0" applyFont="1" applyFill="1" applyBorder="1" applyAlignment="1" applyProtection="1">
      <alignment horizontal="center" vertical="center" textRotation="90" wrapText="1"/>
      <protection hidden="1"/>
    </xf>
    <xf numFmtId="0" fontId="2" fillId="6" borderId="23" xfId="0" applyFont="1" applyFill="1" applyBorder="1" applyAlignment="1" applyProtection="1">
      <alignment horizontal="center" vertical="center" textRotation="90" wrapText="1"/>
      <protection hidden="1"/>
    </xf>
    <xf numFmtId="0" fontId="2" fillId="9" borderId="23" xfId="0" applyFont="1" applyFill="1" applyBorder="1" applyAlignment="1" applyProtection="1">
      <alignment horizontal="center" vertical="center" wrapText="1"/>
      <protection hidden="1"/>
    </xf>
  </cellXfs>
  <cellStyles count="2">
    <cellStyle name="Normal" xfId="0" builtinId="0"/>
    <cellStyle name="Porcentaje" xfId="1" builtinId="5"/>
  </cellStyles>
  <dxfs count="17">
    <dxf>
      <font>
        <sz val="12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1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  <protection locked="1" hidden="1"/>
    </dxf>
    <dxf>
      <font>
        <b/>
        <i val="0"/>
        <color rgb="FF002060"/>
      </font>
    </dxf>
    <dxf>
      <font>
        <b/>
        <i val="0"/>
        <color rgb="FFC00000"/>
      </font>
    </dxf>
    <dxf>
      <font>
        <b/>
        <i val="0"/>
        <color rgb="FF800000"/>
      </font>
    </dxf>
    <dxf>
      <font>
        <b/>
        <i val="0"/>
        <color rgb="FFCCCC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70C0"/>
      </font>
    </dxf>
    <dxf>
      <font>
        <b/>
        <i val="0"/>
        <color rgb="FFC00000"/>
      </font>
    </dxf>
    <dxf>
      <font>
        <b/>
        <i val="0"/>
        <color theme="5" tint="-0.24994659260841701"/>
      </font>
    </dxf>
    <dxf>
      <font>
        <b/>
        <i val="0"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52</xdr:col>
      <xdr:colOff>0</xdr:colOff>
      <xdr:row>33</xdr:row>
      <xdr:rowOff>0</xdr:rowOff>
    </xdr:from>
    <xdr:to>
      <xdr:col>52</xdr:col>
      <xdr:colOff>9525</xdr:colOff>
      <xdr:row>33</xdr:row>
      <xdr:rowOff>152400</xdr:rowOff>
    </xdr:to>
    <xdr:pic>
      <xdr:nvPicPr>
        <xdr:cNvPr id="2" name="Picture 5440">
          <a:extLst>
            <a:ext uri="{FF2B5EF4-FFF2-40B4-BE49-F238E27FC236}">
              <a16:creationId xmlns:a16="http://schemas.microsoft.com/office/drawing/2014/main" id="{F6581B82-8244-438E-B714-DD685921E1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73100" y="8905875"/>
          <a:ext cx="95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52</xdr:col>
      <xdr:colOff>0</xdr:colOff>
      <xdr:row>38</xdr:row>
      <xdr:rowOff>0</xdr:rowOff>
    </xdr:from>
    <xdr:to>
      <xdr:col>52</xdr:col>
      <xdr:colOff>9525</xdr:colOff>
      <xdr:row>38</xdr:row>
      <xdr:rowOff>38100</xdr:rowOff>
    </xdr:to>
    <xdr:pic>
      <xdr:nvPicPr>
        <xdr:cNvPr id="3" name="Picture 6393">
          <a:extLst>
            <a:ext uri="{FF2B5EF4-FFF2-40B4-BE49-F238E27FC236}">
              <a16:creationId xmlns:a16="http://schemas.microsoft.com/office/drawing/2014/main" id="{49DB79EF-6787-4546-944E-916732115C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73100" y="10144125"/>
          <a:ext cx="952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52</xdr:col>
      <xdr:colOff>0</xdr:colOff>
      <xdr:row>39</xdr:row>
      <xdr:rowOff>0</xdr:rowOff>
    </xdr:from>
    <xdr:to>
      <xdr:col>52</xdr:col>
      <xdr:colOff>9525</xdr:colOff>
      <xdr:row>39</xdr:row>
      <xdr:rowOff>19050</xdr:rowOff>
    </xdr:to>
    <xdr:pic>
      <xdr:nvPicPr>
        <xdr:cNvPr id="4" name="Picture 6216">
          <a:extLst>
            <a:ext uri="{FF2B5EF4-FFF2-40B4-BE49-F238E27FC236}">
              <a16:creationId xmlns:a16="http://schemas.microsoft.com/office/drawing/2014/main" id="{99574265-D680-4503-9FCB-65E71A38C5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73100" y="10391775"/>
          <a:ext cx="9525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52</xdr:col>
      <xdr:colOff>0</xdr:colOff>
      <xdr:row>39</xdr:row>
      <xdr:rowOff>0</xdr:rowOff>
    </xdr:from>
    <xdr:to>
      <xdr:col>52</xdr:col>
      <xdr:colOff>9525</xdr:colOff>
      <xdr:row>39</xdr:row>
      <xdr:rowOff>9525</xdr:rowOff>
    </xdr:to>
    <xdr:pic>
      <xdr:nvPicPr>
        <xdr:cNvPr id="5" name="Picture 6217">
          <a:extLst>
            <a:ext uri="{FF2B5EF4-FFF2-40B4-BE49-F238E27FC236}">
              <a16:creationId xmlns:a16="http://schemas.microsoft.com/office/drawing/2014/main" id="{0899F015-72C4-4B3A-94B5-228657C9E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73100" y="103917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52</xdr:col>
      <xdr:colOff>0</xdr:colOff>
      <xdr:row>33</xdr:row>
      <xdr:rowOff>0</xdr:rowOff>
    </xdr:from>
    <xdr:to>
      <xdr:col>52</xdr:col>
      <xdr:colOff>9525</xdr:colOff>
      <xdr:row>33</xdr:row>
      <xdr:rowOff>152400</xdr:rowOff>
    </xdr:to>
    <xdr:pic>
      <xdr:nvPicPr>
        <xdr:cNvPr id="6" name="Picture 5440">
          <a:extLst>
            <a:ext uri="{FF2B5EF4-FFF2-40B4-BE49-F238E27FC236}">
              <a16:creationId xmlns:a16="http://schemas.microsoft.com/office/drawing/2014/main" id="{307DA38D-425A-4D0A-A11C-37A553522D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73100" y="8905875"/>
          <a:ext cx="95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52</xdr:col>
      <xdr:colOff>0</xdr:colOff>
      <xdr:row>38</xdr:row>
      <xdr:rowOff>0</xdr:rowOff>
    </xdr:from>
    <xdr:to>
      <xdr:col>52</xdr:col>
      <xdr:colOff>9525</xdr:colOff>
      <xdr:row>38</xdr:row>
      <xdr:rowOff>38100</xdr:rowOff>
    </xdr:to>
    <xdr:pic>
      <xdr:nvPicPr>
        <xdr:cNvPr id="7" name="Picture 6393">
          <a:extLst>
            <a:ext uri="{FF2B5EF4-FFF2-40B4-BE49-F238E27FC236}">
              <a16:creationId xmlns:a16="http://schemas.microsoft.com/office/drawing/2014/main" id="{E62A3E59-8025-43A4-A183-5E3D660518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73100" y="10144125"/>
          <a:ext cx="952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52</xdr:col>
      <xdr:colOff>0</xdr:colOff>
      <xdr:row>39</xdr:row>
      <xdr:rowOff>0</xdr:rowOff>
    </xdr:from>
    <xdr:to>
      <xdr:col>52</xdr:col>
      <xdr:colOff>9525</xdr:colOff>
      <xdr:row>39</xdr:row>
      <xdr:rowOff>19050</xdr:rowOff>
    </xdr:to>
    <xdr:pic>
      <xdr:nvPicPr>
        <xdr:cNvPr id="8" name="Picture 6216">
          <a:extLst>
            <a:ext uri="{FF2B5EF4-FFF2-40B4-BE49-F238E27FC236}">
              <a16:creationId xmlns:a16="http://schemas.microsoft.com/office/drawing/2014/main" id="{AC8368E3-BE9D-4D30-AD82-5CE6685765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73100" y="10391775"/>
          <a:ext cx="9525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52</xdr:col>
      <xdr:colOff>0</xdr:colOff>
      <xdr:row>39</xdr:row>
      <xdr:rowOff>0</xdr:rowOff>
    </xdr:from>
    <xdr:to>
      <xdr:col>52</xdr:col>
      <xdr:colOff>9525</xdr:colOff>
      <xdr:row>39</xdr:row>
      <xdr:rowOff>9525</xdr:rowOff>
    </xdr:to>
    <xdr:pic>
      <xdr:nvPicPr>
        <xdr:cNvPr id="9" name="Picture 6217">
          <a:extLst>
            <a:ext uri="{FF2B5EF4-FFF2-40B4-BE49-F238E27FC236}">
              <a16:creationId xmlns:a16="http://schemas.microsoft.com/office/drawing/2014/main" id="{E71E48C8-103A-45C5-A2E4-AC6B459AFA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73100" y="103917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33</xdr:row>
      <xdr:rowOff>0</xdr:rowOff>
    </xdr:from>
    <xdr:to>
      <xdr:col>3</xdr:col>
      <xdr:colOff>9525</xdr:colOff>
      <xdr:row>33</xdr:row>
      <xdr:rowOff>152400</xdr:rowOff>
    </xdr:to>
    <xdr:pic>
      <xdr:nvPicPr>
        <xdr:cNvPr id="10" name="Picture 5440">
          <a:extLst>
            <a:ext uri="{FF2B5EF4-FFF2-40B4-BE49-F238E27FC236}">
              <a16:creationId xmlns:a16="http://schemas.microsoft.com/office/drawing/2014/main" id="{B3067CB3-9139-49E8-9803-C774F4031F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0" y="8905875"/>
          <a:ext cx="95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38</xdr:row>
      <xdr:rowOff>0</xdr:rowOff>
    </xdr:from>
    <xdr:to>
      <xdr:col>3</xdr:col>
      <xdr:colOff>9525</xdr:colOff>
      <xdr:row>38</xdr:row>
      <xdr:rowOff>38100</xdr:rowOff>
    </xdr:to>
    <xdr:pic>
      <xdr:nvPicPr>
        <xdr:cNvPr id="11" name="Picture 6393">
          <a:extLst>
            <a:ext uri="{FF2B5EF4-FFF2-40B4-BE49-F238E27FC236}">
              <a16:creationId xmlns:a16="http://schemas.microsoft.com/office/drawing/2014/main" id="{298C851D-3A6F-4B69-AAE8-A06430E73A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0" y="10144125"/>
          <a:ext cx="952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39</xdr:row>
      <xdr:rowOff>0</xdr:rowOff>
    </xdr:from>
    <xdr:to>
      <xdr:col>3</xdr:col>
      <xdr:colOff>9525</xdr:colOff>
      <xdr:row>39</xdr:row>
      <xdr:rowOff>19050</xdr:rowOff>
    </xdr:to>
    <xdr:pic>
      <xdr:nvPicPr>
        <xdr:cNvPr id="12" name="Picture 6216">
          <a:extLst>
            <a:ext uri="{FF2B5EF4-FFF2-40B4-BE49-F238E27FC236}">
              <a16:creationId xmlns:a16="http://schemas.microsoft.com/office/drawing/2014/main" id="{C6812705-E7B9-4C04-B279-A04E8D92E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0" y="10391775"/>
          <a:ext cx="9525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39</xdr:row>
      <xdr:rowOff>0</xdr:rowOff>
    </xdr:from>
    <xdr:to>
      <xdr:col>3</xdr:col>
      <xdr:colOff>9525</xdr:colOff>
      <xdr:row>39</xdr:row>
      <xdr:rowOff>9525</xdr:rowOff>
    </xdr:to>
    <xdr:pic>
      <xdr:nvPicPr>
        <xdr:cNvPr id="13" name="Picture 6217">
          <a:extLst>
            <a:ext uri="{FF2B5EF4-FFF2-40B4-BE49-F238E27FC236}">
              <a16:creationId xmlns:a16="http://schemas.microsoft.com/office/drawing/2014/main" id="{679BAFC5-86C8-48EE-8B7E-EB3976D8FB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0" y="103917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33</xdr:row>
      <xdr:rowOff>0</xdr:rowOff>
    </xdr:from>
    <xdr:to>
      <xdr:col>3</xdr:col>
      <xdr:colOff>9525</xdr:colOff>
      <xdr:row>33</xdr:row>
      <xdr:rowOff>152400</xdr:rowOff>
    </xdr:to>
    <xdr:pic>
      <xdr:nvPicPr>
        <xdr:cNvPr id="14" name="Picture 5440">
          <a:extLst>
            <a:ext uri="{FF2B5EF4-FFF2-40B4-BE49-F238E27FC236}">
              <a16:creationId xmlns:a16="http://schemas.microsoft.com/office/drawing/2014/main" id="{4FBA8FCE-70D3-4BCE-85F0-A3694510A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0" y="8905875"/>
          <a:ext cx="95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38</xdr:row>
      <xdr:rowOff>0</xdr:rowOff>
    </xdr:from>
    <xdr:to>
      <xdr:col>3</xdr:col>
      <xdr:colOff>9525</xdr:colOff>
      <xdr:row>38</xdr:row>
      <xdr:rowOff>38100</xdr:rowOff>
    </xdr:to>
    <xdr:pic>
      <xdr:nvPicPr>
        <xdr:cNvPr id="15" name="Picture 6393">
          <a:extLst>
            <a:ext uri="{FF2B5EF4-FFF2-40B4-BE49-F238E27FC236}">
              <a16:creationId xmlns:a16="http://schemas.microsoft.com/office/drawing/2014/main" id="{1E0F1299-01DB-4717-9F90-4120B452CB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0" y="10144125"/>
          <a:ext cx="952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39</xdr:row>
      <xdr:rowOff>0</xdr:rowOff>
    </xdr:from>
    <xdr:to>
      <xdr:col>3</xdr:col>
      <xdr:colOff>9525</xdr:colOff>
      <xdr:row>39</xdr:row>
      <xdr:rowOff>19050</xdr:rowOff>
    </xdr:to>
    <xdr:pic>
      <xdr:nvPicPr>
        <xdr:cNvPr id="16" name="Picture 6216">
          <a:extLst>
            <a:ext uri="{FF2B5EF4-FFF2-40B4-BE49-F238E27FC236}">
              <a16:creationId xmlns:a16="http://schemas.microsoft.com/office/drawing/2014/main" id="{EF3E72BA-DBEF-4E99-BCC8-2DE3D63AEC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0" y="10391775"/>
          <a:ext cx="9525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39</xdr:row>
      <xdr:rowOff>0</xdr:rowOff>
    </xdr:from>
    <xdr:to>
      <xdr:col>3</xdr:col>
      <xdr:colOff>9525</xdr:colOff>
      <xdr:row>39</xdr:row>
      <xdr:rowOff>9525</xdr:rowOff>
    </xdr:to>
    <xdr:pic>
      <xdr:nvPicPr>
        <xdr:cNvPr id="17" name="Picture 6217">
          <a:extLst>
            <a:ext uri="{FF2B5EF4-FFF2-40B4-BE49-F238E27FC236}">
              <a16:creationId xmlns:a16="http://schemas.microsoft.com/office/drawing/2014/main" id="{B649B338-6999-4953-A0C7-C0B6E7587A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0" y="103917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57150</xdr:colOff>
      <xdr:row>1</xdr:row>
      <xdr:rowOff>190500</xdr:rowOff>
    </xdr:from>
    <xdr:to>
      <xdr:col>45</xdr:col>
      <xdr:colOff>238125</xdr:colOff>
      <xdr:row>2</xdr:row>
      <xdr:rowOff>257175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C1DD690D-2255-4620-A973-0FFBCD7AD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182600" y="381000"/>
          <a:ext cx="1009650" cy="638175"/>
        </a:xfrm>
        <a:prstGeom prst="rect">
          <a:avLst/>
        </a:prstGeom>
      </xdr:spPr>
    </xdr:pic>
    <xdr:clientData/>
  </xdr:twoCellAnchor>
  <xdr:oneCellAnchor>
    <xdr:from>
      <xdr:col>66</xdr:col>
      <xdr:colOff>340178</xdr:colOff>
      <xdr:row>0</xdr:row>
      <xdr:rowOff>87475</xdr:rowOff>
    </xdr:from>
    <xdr:ext cx="1214923" cy="894183"/>
    <xdr:pic>
      <xdr:nvPicPr>
        <xdr:cNvPr id="20" name="Imagen 19">
          <a:extLst>
            <a:ext uri="{FF2B5EF4-FFF2-40B4-BE49-F238E27FC236}">
              <a16:creationId xmlns:a16="http://schemas.microsoft.com/office/drawing/2014/main" id="{01012881-90F5-4D39-B7D9-96376C160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032755" y="87475"/>
          <a:ext cx="1214923" cy="894183"/>
        </a:xfrm>
        <a:prstGeom prst="rect">
          <a:avLst/>
        </a:prstGeom>
      </xdr:spPr>
    </xdr:pic>
    <xdr:clientData/>
  </xdr:oneCellAnchor>
  <xdr:twoCellAnchor editAs="oneCell">
    <xdr:from>
      <xdr:col>51</xdr:col>
      <xdr:colOff>311021</xdr:colOff>
      <xdr:row>1</xdr:row>
      <xdr:rowOff>68036</xdr:rowOff>
    </xdr:from>
    <xdr:to>
      <xdr:col>52</xdr:col>
      <xdr:colOff>361877</xdr:colOff>
      <xdr:row>3</xdr:row>
      <xdr:rowOff>74990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BFCF2F44-7055-EE6D-44DA-DF3345EEB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401939" y="262424"/>
          <a:ext cx="1304657" cy="920576"/>
        </a:xfrm>
        <a:prstGeom prst="rect">
          <a:avLst/>
        </a:prstGeom>
      </xdr:spPr>
    </xdr:pic>
    <xdr:clientData/>
  </xdr:twoCellAnchor>
  <xdr:twoCellAnchor editAs="oneCell">
    <xdr:from>
      <xdr:col>2</xdr:col>
      <xdr:colOff>981660</xdr:colOff>
      <xdr:row>1</xdr:row>
      <xdr:rowOff>221991</xdr:rowOff>
    </xdr:from>
    <xdr:to>
      <xdr:col>3</xdr:col>
      <xdr:colOff>438151</xdr:colOff>
      <xdr:row>2</xdr:row>
      <xdr:rowOff>285750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9CD1C83D-4805-EAF1-E8C0-1C39E94B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76935" y="412491"/>
          <a:ext cx="799516" cy="635259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33</xdr:row>
      <xdr:rowOff>0</xdr:rowOff>
    </xdr:from>
    <xdr:to>
      <xdr:col>3</xdr:col>
      <xdr:colOff>9525</xdr:colOff>
      <xdr:row>33</xdr:row>
      <xdr:rowOff>152400</xdr:rowOff>
    </xdr:to>
    <xdr:pic>
      <xdr:nvPicPr>
        <xdr:cNvPr id="19" name="Picture 5440">
          <a:extLst>
            <a:ext uri="{FF2B5EF4-FFF2-40B4-BE49-F238E27FC236}">
              <a16:creationId xmlns:a16="http://schemas.microsoft.com/office/drawing/2014/main" id="{4FC12731-475E-41BA-B616-F289D396F3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9258300"/>
          <a:ext cx="95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38</xdr:row>
      <xdr:rowOff>0</xdr:rowOff>
    </xdr:from>
    <xdr:to>
      <xdr:col>3</xdr:col>
      <xdr:colOff>9525</xdr:colOff>
      <xdr:row>38</xdr:row>
      <xdr:rowOff>38100</xdr:rowOff>
    </xdr:to>
    <xdr:pic>
      <xdr:nvPicPr>
        <xdr:cNvPr id="21" name="Picture 6393">
          <a:extLst>
            <a:ext uri="{FF2B5EF4-FFF2-40B4-BE49-F238E27FC236}">
              <a16:creationId xmlns:a16="http://schemas.microsoft.com/office/drawing/2014/main" id="{F5B9F6EC-2C6F-4FE9-9AED-3ACEBA8739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10496550"/>
          <a:ext cx="952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39</xdr:row>
      <xdr:rowOff>0</xdr:rowOff>
    </xdr:from>
    <xdr:to>
      <xdr:col>3</xdr:col>
      <xdr:colOff>9525</xdr:colOff>
      <xdr:row>39</xdr:row>
      <xdr:rowOff>19050</xdr:rowOff>
    </xdr:to>
    <xdr:pic>
      <xdr:nvPicPr>
        <xdr:cNvPr id="22" name="Picture 6216">
          <a:extLst>
            <a:ext uri="{FF2B5EF4-FFF2-40B4-BE49-F238E27FC236}">
              <a16:creationId xmlns:a16="http://schemas.microsoft.com/office/drawing/2014/main" id="{82843949-DA41-40AD-87B9-447DA3FBF0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10744200"/>
          <a:ext cx="9525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39</xdr:row>
      <xdr:rowOff>0</xdr:rowOff>
    </xdr:from>
    <xdr:to>
      <xdr:col>3</xdr:col>
      <xdr:colOff>9525</xdr:colOff>
      <xdr:row>39</xdr:row>
      <xdr:rowOff>9525</xdr:rowOff>
    </xdr:to>
    <xdr:pic>
      <xdr:nvPicPr>
        <xdr:cNvPr id="25" name="Picture 6217">
          <a:extLst>
            <a:ext uri="{FF2B5EF4-FFF2-40B4-BE49-F238E27FC236}">
              <a16:creationId xmlns:a16="http://schemas.microsoft.com/office/drawing/2014/main" id="{D7BF0FC4-4E81-4FA0-875E-12C0C215B3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107442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33</xdr:row>
      <xdr:rowOff>0</xdr:rowOff>
    </xdr:from>
    <xdr:to>
      <xdr:col>3</xdr:col>
      <xdr:colOff>9525</xdr:colOff>
      <xdr:row>33</xdr:row>
      <xdr:rowOff>152400</xdr:rowOff>
    </xdr:to>
    <xdr:pic>
      <xdr:nvPicPr>
        <xdr:cNvPr id="26" name="Picture 5440">
          <a:extLst>
            <a:ext uri="{FF2B5EF4-FFF2-40B4-BE49-F238E27FC236}">
              <a16:creationId xmlns:a16="http://schemas.microsoft.com/office/drawing/2014/main" id="{F544FF82-7253-423F-AB3B-D3A613A08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9258300"/>
          <a:ext cx="95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38</xdr:row>
      <xdr:rowOff>0</xdr:rowOff>
    </xdr:from>
    <xdr:to>
      <xdr:col>3</xdr:col>
      <xdr:colOff>9525</xdr:colOff>
      <xdr:row>38</xdr:row>
      <xdr:rowOff>38100</xdr:rowOff>
    </xdr:to>
    <xdr:pic>
      <xdr:nvPicPr>
        <xdr:cNvPr id="27" name="Picture 6393">
          <a:extLst>
            <a:ext uri="{FF2B5EF4-FFF2-40B4-BE49-F238E27FC236}">
              <a16:creationId xmlns:a16="http://schemas.microsoft.com/office/drawing/2014/main" id="{7845E0BF-9498-4936-ACDE-E1C58C8EF2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10496550"/>
          <a:ext cx="952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39</xdr:row>
      <xdr:rowOff>0</xdr:rowOff>
    </xdr:from>
    <xdr:to>
      <xdr:col>3</xdr:col>
      <xdr:colOff>9525</xdr:colOff>
      <xdr:row>39</xdr:row>
      <xdr:rowOff>19050</xdr:rowOff>
    </xdr:to>
    <xdr:pic>
      <xdr:nvPicPr>
        <xdr:cNvPr id="28" name="Picture 6216">
          <a:extLst>
            <a:ext uri="{FF2B5EF4-FFF2-40B4-BE49-F238E27FC236}">
              <a16:creationId xmlns:a16="http://schemas.microsoft.com/office/drawing/2014/main" id="{EBD22E3A-C3C2-401F-BE91-992E5CBE54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10744200"/>
          <a:ext cx="9525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39</xdr:row>
      <xdr:rowOff>0</xdr:rowOff>
    </xdr:from>
    <xdr:to>
      <xdr:col>3</xdr:col>
      <xdr:colOff>9525</xdr:colOff>
      <xdr:row>39</xdr:row>
      <xdr:rowOff>9525</xdr:rowOff>
    </xdr:to>
    <xdr:pic>
      <xdr:nvPicPr>
        <xdr:cNvPr id="29" name="Picture 6217">
          <a:extLst>
            <a:ext uri="{FF2B5EF4-FFF2-40B4-BE49-F238E27FC236}">
              <a16:creationId xmlns:a16="http://schemas.microsoft.com/office/drawing/2014/main" id="{9EF4DF98-A6B2-45CD-BC8E-47EEF14D87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107442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LISTADO%204TO%20GRADO.xlsx" TargetMode="External"/><Relationship Id="rId2" Type="http://schemas.openxmlformats.org/officeDocument/2006/relationships/externalLinkPath" Target="https://educrd-my.sharepoint.com/personal/tirso_figuereo_docente_edu_do/Documents/Escritorio/Coordinacion%20a&#241;o%20escolar%202025-2026/Registro%20de%20Calificaciones%20a&#241;o%20escolar%202025-2026/4-Cuarto%20Grado/LISTADO%204TO%20GRADO.xlsx" TargetMode="External"/><Relationship Id="rId1" Type="http://schemas.openxmlformats.org/officeDocument/2006/relationships/externalLinkPath" Target="/personal/tirso_figuereo_docente_edu_do/Documents/Escritorio/Coordinacion%20a&#241;o%20escolar%202025-2026/Registro%20de%20Calificaciones%20a&#241;o%20escolar%202025-2026/4-Cuarto%20Grado/LISTADO%204TO%20GRAD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LISTA 4TO A MÚSICA"/>
      <sheetName val="LISTA 4TO A TEATRO"/>
      <sheetName val="LISTA 4TO A VISUALES"/>
      <sheetName val="LISTA 4TO A MULTIMEDIA"/>
      <sheetName val="MAESTROS POR AREA"/>
      <sheetName val="Hoja1"/>
      <sheetName val="LISTADO 4TO GRADO"/>
    </sheetNames>
    <sheetDataSet>
      <sheetData sheetId="0">
        <row r="8">
          <cell r="A8">
            <v>1</v>
          </cell>
        </row>
      </sheetData>
      <sheetData sheetId="1">
        <row r="8">
          <cell r="A8">
            <v>1</v>
          </cell>
        </row>
      </sheetData>
      <sheetData sheetId="2">
        <row r="8">
          <cell r="A8">
            <v>1</v>
          </cell>
        </row>
      </sheetData>
      <sheetData sheetId="3">
        <row r="8">
          <cell r="A8">
            <v>1</v>
          </cell>
          <cell r="B8" t="str">
            <v xml:space="preserve">Edinso Manuel </v>
          </cell>
          <cell r="C8" t="str">
            <v>Abreu Valdez</v>
          </cell>
          <cell r="M8" t="str">
            <v>ACTIVO</v>
          </cell>
        </row>
        <row r="9">
          <cell r="A9">
            <v>2</v>
          </cell>
          <cell r="B9" t="str">
            <v xml:space="preserve">Alberto </v>
          </cell>
          <cell r="C9" t="str">
            <v xml:space="preserve">Alcántara Cuevas </v>
          </cell>
          <cell r="M9" t="str">
            <v>ACTIVO</v>
          </cell>
        </row>
        <row r="10">
          <cell r="A10">
            <v>3</v>
          </cell>
          <cell r="B10" t="str">
            <v xml:space="preserve">Trino Sahino </v>
          </cell>
          <cell r="C10" t="str">
            <v>Arias Rosa</v>
          </cell>
          <cell r="M10" t="str">
            <v>ACTIVO</v>
          </cell>
        </row>
        <row r="11">
          <cell r="A11">
            <v>4</v>
          </cell>
          <cell r="B11" t="str">
            <v xml:space="preserve">Harolin Maciel </v>
          </cell>
          <cell r="C11" t="str">
            <v>Beriguete</v>
          </cell>
          <cell r="M11" t="str">
            <v>ACTIVO</v>
          </cell>
        </row>
        <row r="12">
          <cell r="A12">
            <v>5</v>
          </cell>
          <cell r="B12" t="str">
            <v xml:space="preserve">Arianny </v>
          </cell>
          <cell r="C12" t="str">
            <v xml:space="preserve">Bretón Fermín </v>
          </cell>
          <cell r="M12" t="str">
            <v>ACTIVO</v>
          </cell>
        </row>
        <row r="13">
          <cell r="A13">
            <v>6</v>
          </cell>
          <cell r="B13" t="str">
            <v>Edison Alexander</v>
          </cell>
          <cell r="C13" t="str">
            <v>Chacón</v>
          </cell>
          <cell r="M13" t="str">
            <v>ACTIVO</v>
          </cell>
        </row>
        <row r="14">
          <cell r="A14">
            <v>7</v>
          </cell>
          <cell r="B14" t="str">
            <v xml:space="preserve">Sharibel  </v>
          </cell>
          <cell r="C14" t="str">
            <v xml:space="preserve">Clase </v>
          </cell>
          <cell r="M14" t="str">
            <v>RETIRADO</v>
          </cell>
        </row>
        <row r="15">
          <cell r="A15">
            <v>8</v>
          </cell>
          <cell r="B15" t="str">
            <v xml:space="preserve">Saviel </v>
          </cell>
          <cell r="C15" t="str">
            <v>Del Rosario</v>
          </cell>
          <cell r="M15" t="str">
            <v>ACTIVO</v>
          </cell>
        </row>
        <row r="16">
          <cell r="A16">
            <v>9</v>
          </cell>
          <cell r="B16" t="str">
            <v xml:space="preserve">Juan </v>
          </cell>
          <cell r="C16" t="str">
            <v>Del Rosario Mesa</v>
          </cell>
          <cell r="M16" t="str">
            <v>ACTIVO</v>
          </cell>
        </row>
        <row r="17">
          <cell r="A17">
            <v>10</v>
          </cell>
          <cell r="B17" t="str">
            <v xml:space="preserve">Yulian Miguel </v>
          </cell>
          <cell r="C17" t="str">
            <v xml:space="preserve">Del Villar Lorenzo </v>
          </cell>
          <cell r="M17" t="str">
            <v>ACTIVO</v>
          </cell>
        </row>
        <row r="18">
          <cell r="A18">
            <v>11</v>
          </cell>
          <cell r="B18" t="str">
            <v>Wagner Silvilio</v>
          </cell>
          <cell r="C18" t="str">
            <v>Estepan Ramírez</v>
          </cell>
          <cell r="M18" t="str">
            <v>ACTIVO</v>
          </cell>
        </row>
        <row r="19">
          <cell r="A19">
            <v>12</v>
          </cell>
          <cell r="B19" t="str">
            <v xml:space="preserve">Juan Ramón </v>
          </cell>
          <cell r="C19" t="str">
            <v xml:space="preserve">Fernández Díaz </v>
          </cell>
          <cell r="M19" t="str">
            <v>ACTIVO</v>
          </cell>
        </row>
        <row r="20">
          <cell r="A20">
            <v>13</v>
          </cell>
          <cell r="B20" t="str">
            <v xml:space="preserve">Jadiel Alexander </v>
          </cell>
          <cell r="C20" t="str">
            <v>Maldonado Castillo</v>
          </cell>
          <cell r="M20" t="str">
            <v>ACTIVO</v>
          </cell>
        </row>
        <row r="21">
          <cell r="A21">
            <v>14</v>
          </cell>
          <cell r="B21" t="str">
            <v>Miguel Angel</v>
          </cell>
          <cell r="C21" t="str">
            <v>Martinez Medina</v>
          </cell>
          <cell r="M21" t="str">
            <v>ACTIVO</v>
          </cell>
        </row>
        <row r="22">
          <cell r="A22">
            <v>15</v>
          </cell>
          <cell r="B22" t="str">
            <v>Gabi Nataniel</v>
          </cell>
          <cell r="C22" t="str">
            <v>Martinez Medina</v>
          </cell>
          <cell r="M22" t="str">
            <v>ACTIVO</v>
          </cell>
        </row>
        <row r="23">
          <cell r="A23">
            <v>16</v>
          </cell>
          <cell r="B23" t="str">
            <v>Francisco</v>
          </cell>
          <cell r="C23" t="str">
            <v>Mendez Valdez</v>
          </cell>
          <cell r="M23" t="str">
            <v>ACTIVO</v>
          </cell>
        </row>
        <row r="24">
          <cell r="A24">
            <v>17</v>
          </cell>
          <cell r="B24" t="str">
            <v>Lismerlin</v>
          </cell>
          <cell r="C24" t="str">
            <v xml:space="preserve">Moreno Manzueta </v>
          </cell>
          <cell r="M24" t="str">
            <v>ACTIVO</v>
          </cell>
        </row>
        <row r="25">
          <cell r="A25">
            <v>18</v>
          </cell>
          <cell r="B25" t="str">
            <v xml:space="preserve">Gabriela </v>
          </cell>
          <cell r="C25" t="str">
            <v>Núñez Peña</v>
          </cell>
          <cell r="M25" t="str">
            <v>ACTIVO</v>
          </cell>
        </row>
        <row r="26">
          <cell r="A26">
            <v>19</v>
          </cell>
          <cell r="B26" t="str">
            <v xml:space="preserve">Jose Junior </v>
          </cell>
          <cell r="C26" t="str">
            <v>Perez</v>
          </cell>
          <cell r="M26" t="str">
            <v>ACTIVO</v>
          </cell>
        </row>
        <row r="27">
          <cell r="A27">
            <v>20</v>
          </cell>
          <cell r="B27" t="str">
            <v>Yadiel Alberto</v>
          </cell>
          <cell r="C27" t="str">
            <v>Pimentel Feliz</v>
          </cell>
          <cell r="M27" t="str">
            <v>ACTIVO</v>
          </cell>
        </row>
        <row r="28">
          <cell r="A28">
            <v>21</v>
          </cell>
          <cell r="B28" t="str">
            <v xml:space="preserve">Diana </v>
          </cell>
          <cell r="C28" t="str">
            <v>Ramirez De La Cruz</v>
          </cell>
          <cell r="M28" t="str">
            <v>ACTIVO</v>
          </cell>
        </row>
        <row r="29">
          <cell r="A29">
            <v>22</v>
          </cell>
          <cell r="B29" t="str">
            <v>Yamilka</v>
          </cell>
          <cell r="C29" t="str">
            <v xml:space="preserve">Ramirez Sanchez </v>
          </cell>
          <cell r="M29" t="str">
            <v>ACTIVO</v>
          </cell>
        </row>
        <row r="30">
          <cell r="A30">
            <v>23</v>
          </cell>
          <cell r="B30" t="str">
            <v xml:space="preserve">Jesus Enmanuel </v>
          </cell>
          <cell r="C30" t="str">
            <v>Reynoso</v>
          </cell>
          <cell r="M30" t="str">
            <v>ACTIVO</v>
          </cell>
        </row>
        <row r="31">
          <cell r="A31">
            <v>24</v>
          </cell>
          <cell r="B31" t="str">
            <v xml:space="preserve">Densel Eduardo </v>
          </cell>
          <cell r="C31" t="str">
            <v>Rodriguez Perez</v>
          </cell>
          <cell r="M31" t="str">
            <v>ACTIVO</v>
          </cell>
        </row>
        <row r="32">
          <cell r="A32">
            <v>25</v>
          </cell>
          <cell r="B32" t="str">
            <v xml:space="preserve">Angel Luis </v>
          </cell>
          <cell r="C32" t="str">
            <v>Shepharh Manzueta</v>
          </cell>
          <cell r="M32" t="str">
            <v>ACTIVO</v>
          </cell>
        </row>
        <row r="33">
          <cell r="A33">
            <v>26</v>
          </cell>
          <cell r="B33" t="str">
            <v xml:space="preserve">Matius </v>
          </cell>
          <cell r="C33" t="str">
            <v>Silfa Álvarez</v>
          </cell>
          <cell r="M33" t="str">
            <v>ACTIVO</v>
          </cell>
        </row>
        <row r="34">
          <cell r="A34">
            <v>27</v>
          </cell>
          <cell r="B34" t="str">
            <v xml:space="preserve">Jorlenny Massiel </v>
          </cell>
          <cell r="C34" t="str">
            <v xml:space="preserve">Solano Ceballos </v>
          </cell>
          <cell r="M34" t="str">
            <v>ACTIVO</v>
          </cell>
        </row>
        <row r="35">
          <cell r="A35">
            <v>28</v>
          </cell>
          <cell r="B35" t="str">
            <v xml:space="preserve">Micaias Moises </v>
          </cell>
          <cell r="C35" t="str">
            <v>Torres Cabrera</v>
          </cell>
          <cell r="M35" t="str">
            <v>ACTIVO</v>
          </cell>
        </row>
        <row r="36">
          <cell r="A36">
            <v>29</v>
          </cell>
          <cell r="B36" t="str">
            <v xml:space="preserve">Victor Rafael </v>
          </cell>
          <cell r="C36" t="str">
            <v>Vazquez Duran</v>
          </cell>
          <cell r="M36" t="str">
            <v>ACTIVO</v>
          </cell>
        </row>
        <row r="37">
          <cell r="A37">
            <v>30</v>
          </cell>
          <cell r="B37" t="str">
            <v xml:space="preserve">Samuel Alexander </v>
          </cell>
          <cell r="C37" t="str">
            <v xml:space="preserve">Veloz Contreras </v>
          </cell>
          <cell r="M37" t="str">
            <v>ACTIVO</v>
          </cell>
        </row>
        <row r="38">
          <cell r="A38">
            <v>31</v>
          </cell>
          <cell r="B38" t="str">
            <v>Josue  Francisco</v>
          </cell>
          <cell r="C38" t="str">
            <v>Fabre Rodríguez</v>
          </cell>
          <cell r="M38" t="str">
            <v>ACTIVO</v>
          </cell>
        </row>
        <row r="39">
          <cell r="A39"/>
          <cell r="B39"/>
          <cell r="C39"/>
        </row>
        <row r="40">
          <cell r="A40"/>
          <cell r="B40"/>
          <cell r="C40"/>
        </row>
        <row r="41">
          <cell r="A41"/>
          <cell r="B41"/>
          <cell r="C41"/>
        </row>
        <row r="42">
          <cell r="A42"/>
          <cell r="B42"/>
          <cell r="C42"/>
        </row>
        <row r="43">
          <cell r="A43"/>
          <cell r="B43"/>
          <cell r="C43"/>
        </row>
        <row r="44">
          <cell r="A44"/>
          <cell r="B44"/>
          <cell r="C44"/>
        </row>
        <row r="45">
          <cell r="A45"/>
          <cell r="B45"/>
          <cell r="C45"/>
        </row>
        <row r="46">
          <cell r="A46"/>
          <cell r="B46"/>
          <cell r="C46"/>
        </row>
        <row r="47">
          <cell r="A47"/>
          <cell r="B47"/>
          <cell r="C47"/>
        </row>
      </sheetData>
      <sheetData sheetId="4">
        <row r="9">
          <cell r="C9" t="str">
            <v>MAESTRO/A</v>
          </cell>
        </row>
      </sheetData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D1017B-10B6-42E7-BF20-8FC9BBD05240}" name="Tabla423" displayName="Tabla423" ref="B9:E49" totalsRowShown="0" headerRowDxfId="6" dataDxfId="5" tableBorderDxfId="4">
  <autoFilter ref="B9:E49" xr:uid="{9A6C2F4B-AB99-4BE9-99DD-1EF6D1E1626A}"/>
  <tableColumns count="4">
    <tableColumn id="1" xr3:uid="{BA1DFCFB-55B0-47E0-AC5C-A26EFF16D722}" name="#" dataDxfId="3">
      <calculatedColumnFormula>IFERROR('[1]LISTA 4TO A MÚSICA'!A8,"")</calculatedColumnFormula>
    </tableColumn>
    <tableColumn id="2" xr3:uid="{66CABD71-4733-4FF6-AB09-869C407EF54C}" name="Nombres" dataDxfId="2">
      <calculatedColumnFormula>IFERROR('[1]LISTA 4TO A MÚSICA'!B8,"")</calculatedColumnFormula>
    </tableColumn>
    <tableColumn id="3" xr3:uid="{1C1103DB-04AD-489B-AC4A-62FD01EE6FD5}" name="Apellidos" dataDxfId="1">
      <calculatedColumnFormula>IFERROR('[1]LISTA 4TO A MÚSICA'!C8,"")</calculatedColumnFormula>
    </tableColumn>
    <tableColumn id="5" xr3:uid="{B2AB6065-CBD4-4F26-B38D-53669D6DCF6F}" name="Codición Actual" dataDxfId="0">
      <calculatedColumnFormula>IFERROR('[1]LISTA 4TO A MÚSICA'!M8,"")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D8157-27B8-42CC-8894-0DC0498A3BC7}">
  <sheetPr codeName="Hoja1">
    <tabColor rgb="FF002060"/>
  </sheetPr>
  <dimension ref="A1:BX49"/>
  <sheetViews>
    <sheetView showGridLines="0" tabSelected="1" view="pageBreakPreview" topLeftCell="BP29" zoomScaleNormal="100" zoomScaleSheetLayoutView="100" workbookViewId="0">
      <selection activeCell="BO20" sqref="BO20"/>
    </sheetView>
  </sheetViews>
  <sheetFormatPr baseColWidth="10" defaultColWidth="0" defaultRowHeight="0" customHeight="1" zeroHeight="1" x14ac:dyDescent="0.25"/>
  <cols>
    <col min="1" max="1" width="1.42578125" style="2" hidden="1" customWidth="1"/>
    <col min="2" max="2" width="4.42578125" style="2" customWidth="1"/>
    <col min="3" max="3" width="20.140625" style="37" bestFit="1" customWidth="1"/>
    <col min="4" max="4" width="21.7109375" style="37" bestFit="1" customWidth="1"/>
    <col min="5" max="5" width="13.85546875" style="2" bestFit="1" customWidth="1"/>
    <col min="6" max="41" width="4.140625" style="2" customWidth="1"/>
    <col min="42" max="45" width="4.140625" style="2" hidden="1" customWidth="1"/>
    <col min="46" max="49" width="5.28515625" style="2" customWidth="1"/>
    <col min="50" max="50" width="1.85546875" style="2" customWidth="1"/>
    <col min="51" max="51" width="4.42578125" style="2" customWidth="1"/>
    <col min="52" max="52" width="18.85546875" style="2" customWidth="1"/>
    <col min="53" max="53" width="23.7109375" style="2" customWidth="1"/>
    <col min="54" max="54" width="10.42578125" style="2" hidden="1" customWidth="1"/>
    <col min="55" max="60" width="7.7109375" style="2" customWidth="1"/>
    <col min="61" max="62" width="6.7109375" style="2" customWidth="1"/>
    <col min="63" max="63" width="7.7109375" style="2" customWidth="1"/>
    <col min="64" max="64" width="6.85546875" style="2" customWidth="1"/>
    <col min="65" max="65" width="6.42578125" style="2" customWidth="1"/>
    <col min="66" max="66" width="5.42578125" style="2" customWidth="1"/>
    <col min="67" max="67" width="6.7109375" style="2" customWidth="1"/>
    <col min="68" max="68" width="7.140625" style="2" customWidth="1"/>
    <col min="69" max="69" width="13.42578125" style="2" customWidth="1"/>
    <col min="70" max="71" width="11.42578125" style="2" hidden="1" customWidth="1"/>
    <col min="72" max="72" width="12" style="2" hidden="1" customWidth="1"/>
    <col min="73" max="75" width="11.42578125" style="2" hidden="1" customWidth="1"/>
    <col min="76" max="76" width="12" style="2" hidden="1" customWidth="1"/>
    <col min="77" max="16384" width="11.42578125" style="2" hidden="1"/>
  </cols>
  <sheetData>
    <row r="1" spans="2:69" ht="15" customHeight="1" x14ac:dyDescent="0.25">
      <c r="B1" s="80" t="s">
        <v>0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Y1" s="76" t="str">
        <f>B1</f>
        <v>CENTRO EDUCATIVO EN ARTES 
BENITO JUÁREZ</v>
      </c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8"/>
    </row>
    <row r="2" spans="2:69" ht="45" customHeight="1" x14ac:dyDescent="0.25"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Y2" s="79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1"/>
    </row>
    <row r="3" spans="2:69" ht="27" customHeight="1" x14ac:dyDescent="0.25">
      <c r="B3" s="82" t="s">
        <v>1</v>
      </c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Y3" s="83" t="str">
        <f>B3</f>
        <v>ÁREA/TÉCNICA: LENGUAJE VISUAL, DIBUJO Y CREACIÓN DE PERSONAJES</v>
      </c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  <c r="BO3" s="82"/>
      <c r="BP3" s="82"/>
      <c r="BQ3" s="84"/>
    </row>
    <row r="4" spans="2:69" ht="15" customHeight="1" x14ac:dyDescent="0.25">
      <c r="B4" s="85" t="s">
        <v>2</v>
      </c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Y4" s="86" t="str">
        <f>B4</f>
        <v>MAESTRO/A: ERICK HERNANDEZ</v>
      </c>
      <c r="AZ4" s="87"/>
      <c r="BA4" s="87"/>
      <c r="BB4" s="87"/>
      <c r="BC4" s="87"/>
      <c r="BD4" s="87"/>
      <c r="BE4" s="87"/>
      <c r="BF4" s="87"/>
      <c r="BG4" s="87"/>
      <c r="BH4" s="87"/>
      <c r="BI4" s="87"/>
      <c r="BJ4" s="87"/>
      <c r="BK4" s="87"/>
      <c r="BL4" s="87"/>
      <c r="BM4" s="87"/>
      <c r="BN4" s="87"/>
      <c r="BO4" s="87"/>
      <c r="BP4" s="87"/>
      <c r="BQ4" s="88"/>
    </row>
    <row r="5" spans="2:69" ht="18.75" customHeight="1" thickBot="1" x14ac:dyDescent="0.3">
      <c r="B5" s="89" t="s">
        <v>3</v>
      </c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89"/>
      <c r="AK5" s="89"/>
      <c r="AL5" s="89"/>
      <c r="AM5" s="89"/>
      <c r="AN5" s="89"/>
      <c r="AO5" s="89"/>
      <c r="AP5" s="89"/>
      <c r="AQ5" s="89"/>
      <c r="AR5" s="89"/>
      <c r="AS5" s="89"/>
      <c r="AT5" s="89"/>
      <c r="AU5" s="89"/>
      <c r="AV5" s="89"/>
      <c r="AW5" s="89"/>
      <c r="AY5" s="90" t="s">
        <v>4</v>
      </c>
      <c r="AZ5" s="89"/>
      <c r="BA5" s="89"/>
      <c r="BB5" s="89"/>
      <c r="BC5" s="89"/>
      <c r="BD5" s="89"/>
      <c r="BE5" s="89"/>
      <c r="BF5" s="89"/>
      <c r="BG5" s="89"/>
      <c r="BH5" s="89"/>
      <c r="BI5" s="89"/>
      <c r="BJ5" s="89"/>
      <c r="BK5" s="89"/>
      <c r="BL5" s="89"/>
      <c r="BM5" s="89"/>
      <c r="BN5" s="89"/>
      <c r="BO5" s="89"/>
      <c r="BP5" s="89"/>
      <c r="BQ5" s="91"/>
    </row>
    <row r="6" spans="2:69" ht="36" customHeight="1" x14ac:dyDescent="0.25">
      <c r="B6" s="92" t="s">
        <v>5</v>
      </c>
      <c r="C6" s="93"/>
      <c r="D6" s="93"/>
      <c r="E6" s="94"/>
      <c r="F6" s="64" t="s">
        <v>6</v>
      </c>
      <c r="G6" s="65"/>
      <c r="H6" s="65"/>
      <c r="I6" s="66"/>
      <c r="J6" s="64" t="s">
        <v>7</v>
      </c>
      <c r="K6" s="65"/>
      <c r="L6" s="65"/>
      <c r="M6" s="66"/>
      <c r="N6" s="64" t="s">
        <v>8</v>
      </c>
      <c r="O6" s="65"/>
      <c r="P6" s="65"/>
      <c r="Q6" s="66"/>
      <c r="R6" s="64" t="s">
        <v>9</v>
      </c>
      <c r="S6" s="65"/>
      <c r="T6" s="65"/>
      <c r="U6" s="66"/>
      <c r="V6" s="64" t="s">
        <v>10</v>
      </c>
      <c r="W6" s="65"/>
      <c r="X6" s="65"/>
      <c r="Y6" s="66"/>
      <c r="Z6" s="64" t="s">
        <v>11</v>
      </c>
      <c r="AA6" s="65"/>
      <c r="AB6" s="65"/>
      <c r="AC6" s="66"/>
      <c r="AD6" s="64" t="s">
        <v>12</v>
      </c>
      <c r="AE6" s="65"/>
      <c r="AF6" s="65"/>
      <c r="AG6" s="66"/>
      <c r="AH6" s="64" t="s">
        <v>13</v>
      </c>
      <c r="AI6" s="65"/>
      <c r="AJ6" s="65"/>
      <c r="AK6" s="66"/>
      <c r="AL6" s="64" t="s">
        <v>14</v>
      </c>
      <c r="AM6" s="65"/>
      <c r="AN6" s="65"/>
      <c r="AO6" s="66"/>
      <c r="AP6" s="64"/>
      <c r="AQ6" s="65"/>
      <c r="AR6" s="65"/>
      <c r="AS6" s="66"/>
      <c r="AT6" s="70" t="s">
        <v>15</v>
      </c>
      <c r="AU6" s="71"/>
      <c r="AV6" s="71"/>
      <c r="AW6" s="72"/>
      <c r="AX6" s="25"/>
      <c r="AY6" s="92" t="s">
        <v>5</v>
      </c>
      <c r="AZ6" s="93"/>
      <c r="BA6" s="93"/>
      <c r="BB6" s="94"/>
      <c r="BC6" s="98" t="s">
        <v>16</v>
      </c>
      <c r="BD6" s="99"/>
      <c r="BE6" s="99"/>
      <c r="BF6" s="99"/>
      <c r="BG6" s="100"/>
      <c r="BH6" s="104" t="s">
        <v>17</v>
      </c>
      <c r="BI6" s="106" t="s">
        <v>18</v>
      </c>
      <c r="BJ6" s="107"/>
      <c r="BK6" s="107"/>
      <c r="BL6" s="108"/>
      <c r="BM6" s="112" t="s">
        <v>19</v>
      </c>
      <c r="BN6" s="113"/>
      <c r="BO6" s="113"/>
      <c r="BP6" s="114"/>
      <c r="BQ6" s="118" t="s">
        <v>20</v>
      </c>
    </row>
    <row r="7" spans="2:69" ht="36" customHeight="1" thickBot="1" x14ac:dyDescent="0.3">
      <c r="B7" s="95"/>
      <c r="C7" s="96"/>
      <c r="D7" s="96"/>
      <c r="E7" s="97"/>
      <c r="F7" s="67"/>
      <c r="G7" s="68"/>
      <c r="H7" s="68"/>
      <c r="I7" s="69"/>
      <c r="J7" s="67"/>
      <c r="K7" s="68"/>
      <c r="L7" s="68"/>
      <c r="M7" s="69"/>
      <c r="N7" s="67"/>
      <c r="O7" s="68"/>
      <c r="P7" s="68"/>
      <c r="Q7" s="69"/>
      <c r="R7" s="67"/>
      <c r="S7" s="68"/>
      <c r="T7" s="68"/>
      <c r="U7" s="69"/>
      <c r="V7" s="67"/>
      <c r="W7" s="68"/>
      <c r="X7" s="68"/>
      <c r="Y7" s="69"/>
      <c r="Z7" s="67"/>
      <c r="AA7" s="68"/>
      <c r="AB7" s="68"/>
      <c r="AC7" s="69"/>
      <c r="AD7" s="67"/>
      <c r="AE7" s="68"/>
      <c r="AF7" s="68"/>
      <c r="AG7" s="69"/>
      <c r="AH7" s="67"/>
      <c r="AI7" s="68"/>
      <c r="AJ7" s="68"/>
      <c r="AK7" s="69"/>
      <c r="AL7" s="67"/>
      <c r="AM7" s="68"/>
      <c r="AN7" s="68"/>
      <c r="AO7" s="69"/>
      <c r="AP7" s="67"/>
      <c r="AQ7" s="68"/>
      <c r="AR7" s="68"/>
      <c r="AS7" s="69"/>
      <c r="AT7" s="73"/>
      <c r="AU7" s="74"/>
      <c r="AV7" s="74"/>
      <c r="AW7" s="75"/>
      <c r="AX7" s="25"/>
      <c r="AY7" s="95"/>
      <c r="AZ7" s="96"/>
      <c r="BA7" s="96"/>
      <c r="BB7" s="97"/>
      <c r="BC7" s="101"/>
      <c r="BD7" s="102"/>
      <c r="BE7" s="102"/>
      <c r="BF7" s="102"/>
      <c r="BG7" s="103"/>
      <c r="BH7" s="105"/>
      <c r="BI7" s="109"/>
      <c r="BJ7" s="110"/>
      <c r="BK7" s="110"/>
      <c r="BL7" s="111"/>
      <c r="BM7" s="115"/>
      <c r="BN7" s="116"/>
      <c r="BO7" s="116"/>
      <c r="BP7" s="117"/>
      <c r="BQ7" s="119"/>
    </row>
    <row r="8" spans="2:69" ht="36" customHeight="1" thickBot="1" x14ac:dyDescent="0.3">
      <c r="B8" s="95"/>
      <c r="C8" s="96"/>
      <c r="D8" s="96"/>
      <c r="E8" s="97"/>
      <c r="F8" s="67"/>
      <c r="G8" s="68"/>
      <c r="H8" s="68"/>
      <c r="I8" s="69"/>
      <c r="J8" s="67"/>
      <c r="K8" s="68"/>
      <c r="L8" s="68"/>
      <c r="M8" s="69"/>
      <c r="N8" s="67"/>
      <c r="O8" s="68"/>
      <c r="P8" s="68"/>
      <c r="Q8" s="69"/>
      <c r="R8" s="67"/>
      <c r="S8" s="68"/>
      <c r="T8" s="68"/>
      <c r="U8" s="69"/>
      <c r="V8" s="67"/>
      <c r="W8" s="68"/>
      <c r="X8" s="68"/>
      <c r="Y8" s="69"/>
      <c r="Z8" s="67"/>
      <c r="AA8" s="68"/>
      <c r="AB8" s="68"/>
      <c r="AC8" s="69"/>
      <c r="AD8" s="67"/>
      <c r="AE8" s="68"/>
      <c r="AF8" s="68"/>
      <c r="AG8" s="69"/>
      <c r="AH8" s="67"/>
      <c r="AI8" s="68"/>
      <c r="AJ8" s="68"/>
      <c r="AK8" s="69"/>
      <c r="AL8" s="67"/>
      <c r="AM8" s="68"/>
      <c r="AN8" s="68"/>
      <c r="AO8" s="69"/>
      <c r="AP8" s="67"/>
      <c r="AQ8" s="68"/>
      <c r="AR8" s="68"/>
      <c r="AS8" s="69"/>
      <c r="AT8" s="73"/>
      <c r="AU8" s="74"/>
      <c r="AV8" s="74"/>
      <c r="AW8" s="75"/>
      <c r="AX8" s="25"/>
      <c r="AY8" s="95"/>
      <c r="AZ8" s="96"/>
      <c r="BA8" s="96"/>
      <c r="BB8" s="97"/>
      <c r="BC8" s="121" t="s">
        <v>21</v>
      </c>
      <c r="BD8" s="121" t="s">
        <v>22</v>
      </c>
      <c r="BE8" s="121" t="s">
        <v>23</v>
      </c>
      <c r="BF8" s="121" t="s">
        <v>24</v>
      </c>
      <c r="BG8" s="121" t="s">
        <v>25</v>
      </c>
      <c r="BH8" s="105"/>
      <c r="BI8" s="120" t="s">
        <v>26</v>
      </c>
      <c r="BJ8" s="120" t="s">
        <v>27</v>
      </c>
      <c r="BK8" s="120" t="s">
        <v>28</v>
      </c>
      <c r="BL8" s="120" t="s">
        <v>29</v>
      </c>
      <c r="BM8" s="123" t="s">
        <v>30</v>
      </c>
      <c r="BN8" s="123" t="s">
        <v>31</v>
      </c>
      <c r="BO8" s="123" t="s">
        <v>32</v>
      </c>
      <c r="BP8" s="123" t="s">
        <v>33</v>
      </c>
      <c r="BQ8" s="118" t="s">
        <v>34</v>
      </c>
    </row>
    <row r="9" spans="2:69" ht="32.25" thickBot="1" x14ac:dyDescent="0.3">
      <c r="B9" s="43" t="s">
        <v>35</v>
      </c>
      <c r="C9" s="43" t="s">
        <v>36</v>
      </c>
      <c r="D9" s="43" t="s">
        <v>37</v>
      </c>
      <c r="E9" s="43" t="s">
        <v>38</v>
      </c>
      <c r="F9" s="41" t="s">
        <v>39</v>
      </c>
      <c r="G9" s="42" t="s">
        <v>40</v>
      </c>
      <c r="H9" s="42" t="s">
        <v>41</v>
      </c>
      <c r="I9" s="42" t="s">
        <v>42</v>
      </c>
      <c r="J9" s="23" t="s">
        <v>39</v>
      </c>
      <c r="K9" s="24" t="s">
        <v>40</v>
      </c>
      <c r="L9" s="24" t="s">
        <v>41</v>
      </c>
      <c r="M9" s="24" t="s">
        <v>42</v>
      </c>
      <c r="N9" s="23" t="s">
        <v>39</v>
      </c>
      <c r="O9" s="24" t="s">
        <v>40</v>
      </c>
      <c r="P9" s="24" t="s">
        <v>41</v>
      </c>
      <c r="Q9" s="24" t="s">
        <v>42</v>
      </c>
      <c r="R9" s="23" t="s">
        <v>39</v>
      </c>
      <c r="S9" s="24" t="s">
        <v>40</v>
      </c>
      <c r="T9" s="24" t="s">
        <v>41</v>
      </c>
      <c r="U9" s="24" t="s">
        <v>42</v>
      </c>
      <c r="V9" s="23" t="s">
        <v>39</v>
      </c>
      <c r="W9" s="24" t="s">
        <v>40</v>
      </c>
      <c r="X9" s="24" t="s">
        <v>41</v>
      </c>
      <c r="Y9" s="24" t="s">
        <v>42</v>
      </c>
      <c r="Z9" s="23" t="s">
        <v>39</v>
      </c>
      <c r="AA9" s="24" t="s">
        <v>40</v>
      </c>
      <c r="AB9" s="24" t="s">
        <v>41</v>
      </c>
      <c r="AC9" s="24" t="s">
        <v>42</v>
      </c>
      <c r="AD9" s="23" t="s">
        <v>39</v>
      </c>
      <c r="AE9" s="24" t="s">
        <v>40</v>
      </c>
      <c r="AF9" s="24" t="s">
        <v>41</v>
      </c>
      <c r="AG9" s="24" t="s">
        <v>42</v>
      </c>
      <c r="AH9" s="23" t="s">
        <v>39</v>
      </c>
      <c r="AI9" s="24" t="s">
        <v>40</v>
      </c>
      <c r="AJ9" s="24" t="s">
        <v>41</v>
      </c>
      <c r="AK9" s="24" t="s">
        <v>42</v>
      </c>
      <c r="AL9" s="23" t="s">
        <v>39</v>
      </c>
      <c r="AM9" s="24" t="s">
        <v>40</v>
      </c>
      <c r="AN9" s="24" t="s">
        <v>41</v>
      </c>
      <c r="AO9" s="24" t="s">
        <v>42</v>
      </c>
      <c r="AP9" s="23" t="s">
        <v>39</v>
      </c>
      <c r="AQ9" s="24" t="s">
        <v>40</v>
      </c>
      <c r="AR9" s="24" t="s">
        <v>41</v>
      </c>
      <c r="AS9" s="24" t="s">
        <v>42</v>
      </c>
      <c r="AT9" s="44" t="s">
        <v>39</v>
      </c>
      <c r="AU9" s="45" t="s">
        <v>40</v>
      </c>
      <c r="AV9" s="45" t="s">
        <v>41</v>
      </c>
      <c r="AW9" s="46" t="s">
        <v>42</v>
      </c>
      <c r="AY9" s="15" t="s">
        <v>35</v>
      </c>
      <c r="AZ9" s="15" t="s">
        <v>36</v>
      </c>
      <c r="BA9" s="15" t="s">
        <v>37</v>
      </c>
      <c r="BB9" s="15" t="s">
        <v>38</v>
      </c>
      <c r="BC9" s="122"/>
      <c r="BD9" s="122"/>
      <c r="BE9" s="122"/>
      <c r="BF9" s="122"/>
      <c r="BG9" s="122"/>
      <c r="BH9" s="105"/>
      <c r="BI9" s="120"/>
      <c r="BJ9" s="120"/>
      <c r="BK9" s="120"/>
      <c r="BL9" s="120"/>
      <c r="BM9" s="124"/>
      <c r="BN9" s="124"/>
      <c r="BO9" s="124"/>
      <c r="BP9" s="124"/>
      <c r="BQ9" s="125"/>
    </row>
    <row r="10" spans="2:69" ht="20.100000000000001" customHeight="1" x14ac:dyDescent="0.25">
      <c r="B10" s="47">
        <f>IFERROR('[1]LISTA 4TO A MULTIMEDIA'!A8,"")</f>
        <v>1</v>
      </c>
      <c r="C10" s="48" t="str">
        <f>IFERROR('[1]LISTA 4TO A MULTIMEDIA'!B8,"")</f>
        <v xml:space="preserve">Edinso Manuel </v>
      </c>
      <c r="D10" s="11" t="str">
        <f>IFERROR('[1]LISTA 4TO A MULTIMEDIA'!C8,"")</f>
        <v>Abreu Valdez</v>
      </c>
      <c r="E10" s="38" t="str">
        <f>IFERROR('[1]LISTA 4TO A MULTIMEDIA'!M8,"")</f>
        <v>ACTIVO</v>
      </c>
      <c r="F10" s="53">
        <v>70</v>
      </c>
      <c r="G10" s="26"/>
      <c r="H10" s="26"/>
      <c r="I10" s="57"/>
      <c r="J10" s="54"/>
      <c r="K10" s="26">
        <v>78</v>
      </c>
      <c r="L10" s="26"/>
      <c r="M10" s="57"/>
      <c r="N10" s="54"/>
      <c r="O10" s="26">
        <v>80</v>
      </c>
      <c r="P10" s="26"/>
      <c r="Q10" s="57"/>
      <c r="R10" s="54"/>
      <c r="S10" s="26"/>
      <c r="T10" s="26">
        <v>84</v>
      </c>
      <c r="U10" s="57"/>
      <c r="V10" s="54"/>
      <c r="W10" s="26">
        <v>76</v>
      </c>
      <c r="X10" s="26"/>
      <c r="Y10" s="57"/>
      <c r="Z10" s="54"/>
      <c r="AA10" s="26"/>
      <c r="AB10" s="26">
        <v>85</v>
      </c>
      <c r="AC10" s="57"/>
      <c r="AD10" s="54"/>
      <c r="AE10" s="26"/>
      <c r="AF10" s="26">
        <v>86</v>
      </c>
      <c r="AG10" s="57"/>
      <c r="AH10" s="54"/>
      <c r="AI10" s="26"/>
      <c r="AJ10" s="26"/>
      <c r="AK10" s="57">
        <v>72</v>
      </c>
      <c r="AL10" s="54"/>
      <c r="AM10" s="26"/>
      <c r="AN10" s="26"/>
      <c r="AO10" s="57">
        <v>70</v>
      </c>
      <c r="AP10" s="54"/>
      <c r="AQ10" s="26"/>
      <c r="AR10" s="26"/>
      <c r="AS10" s="57"/>
      <c r="AT10" s="54">
        <v>92</v>
      </c>
      <c r="AU10" s="26">
        <v>100</v>
      </c>
      <c r="AV10" s="26">
        <v>87</v>
      </c>
      <c r="AW10" s="57">
        <v>94</v>
      </c>
      <c r="AX10" s="3"/>
      <c r="AY10" s="1">
        <f>Tabla423[[#This Row],['#]]</f>
        <v>1</v>
      </c>
      <c r="AZ10" s="11" t="str">
        <f>Tabla423[[#This Row],[Nombres]]</f>
        <v xml:space="preserve">Edinso Manuel </v>
      </c>
      <c r="BA10" s="12" t="str">
        <f>Tabla423[[#This Row],[Apellidos]]</f>
        <v>Abreu Valdez</v>
      </c>
      <c r="BB10" s="27" t="str">
        <f>Tabla423[[#This Row],[Codición Actual]]</f>
        <v>ACTIVO</v>
      </c>
      <c r="BC10" s="32">
        <f>IFERROR(ROUND(AVERAGE(F10,J10,N10,R10,V10,Z10,AD10,AH10,AL10,AP10),0),"")</f>
        <v>70</v>
      </c>
      <c r="BD10" s="32">
        <f t="shared" ref="BD10:BF10" si="0">IFERROR(ROUND(AVERAGE(G10,K10,O10,S10,W10,AA10,AE10,AI10,AM10,AQ10),0),"")</f>
        <v>78</v>
      </c>
      <c r="BE10" s="32">
        <f t="shared" si="0"/>
        <v>85</v>
      </c>
      <c r="BF10" s="33">
        <f t="shared" si="0"/>
        <v>71</v>
      </c>
      <c r="BG10" s="34">
        <f>IF(COUNTBLANK((BC10:BF10))=0,ROUND(AVERAGE(BC10:BF10),0),"")</f>
        <v>76</v>
      </c>
      <c r="BH10" s="29">
        <f>IF(COUNTA((AT10:AW10))=4,ROUND(AVERAGE(AT10:AW10),0),"")</f>
        <v>93</v>
      </c>
      <c r="BI10" s="22" t="str">
        <f>IF(BH10&gt;=79.5,IF(BG10&lt;=69.4,BG10*50%,""),"")</f>
        <v/>
      </c>
      <c r="BJ10" s="62"/>
      <c r="BK10" s="4" t="str">
        <f>IF(BH10&gt;=79.5,IF(BG10&lt;=69.4,BJ10*50%,""),"")</f>
        <v/>
      </c>
      <c r="BL10" s="17" t="str">
        <f>IFERROR(BI10+BK10,"")</f>
        <v/>
      </c>
      <c r="BM10" s="9" t="str">
        <f>IFERROR(IF(AND(BG10&lt;=69.4,BL10&lt;=69.4),BG10*30%,""),"")</f>
        <v/>
      </c>
      <c r="BN10" s="62"/>
      <c r="BO10" s="4" t="str">
        <f>IF(BH10&gt;=79.5,IF(BL10&lt;=69.4,BN10*70%,""),"")</f>
        <v/>
      </c>
      <c r="BP10" s="17" t="str">
        <f>IFERROR(BM10+BO10,"")</f>
        <v/>
      </c>
      <c r="BQ10" s="19" t="str">
        <f>IF(COUNTBLANK((BC10:BH10))=0,IF(BB10="ACTIVO",IF(AND(BG10&gt;=69.5,BH10&gt;=79.5),"Aprobado",IF(AND(BL10&gt;=69.5,BH10&gt;=79.5),"Aprobado",IF(AND(BP10&gt;=69.5,BH10&gt;=79.5),"Aprobado","Reprobado"))),BB10),BB10)</f>
        <v>Aprobado</v>
      </c>
    </row>
    <row r="11" spans="2:69" s="6" customFormat="1" ht="20.100000000000001" customHeight="1" x14ac:dyDescent="0.25">
      <c r="B11" s="49">
        <f>IFERROR('[1]LISTA 4TO A MULTIMEDIA'!A9,"")</f>
        <v>2</v>
      </c>
      <c r="C11" s="50" t="str">
        <f>IFERROR('[1]LISTA 4TO A MULTIMEDIA'!B9,"")</f>
        <v xml:space="preserve">Alberto </v>
      </c>
      <c r="D11" s="13" t="str">
        <f>IFERROR('[1]LISTA 4TO A MULTIMEDIA'!C9,"")</f>
        <v xml:space="preserve">Alcántara Cuevas </v>
      </c>
      <c r="E11" s="39" t="str">
        <f>IFERROR('[1]LISTA 4TO A MULTIMEDIA'!M9,"")</f>
        <v>ACTIVO</v>
      </c>
      <c r="F11" s="8">
        <v>78</v>
      </c>
      <c r="G11" s="5"/>
      <c r="H11" s="5"/>
      <c r="I11" s="58"/>
      <c r="J11" s="10"/>
      <c r="K11" s="5">
        <v>75</v>
      </c>
      <c r="L11" s="5"/>
      <c r="M11" s="58"/>
      <c r="N11" s="10"/>
      <c r="O11" s="5">
        <v>70</v>
      </c>
      <c r="P11" s="5"/>
      <c r="Q11" s="58"/>
      <c r="R11" s="10"/>
      <c r="S11" s="5"/>
      <c r="T11" s="5">
        <v>90</v>
      </c>
      <c r="U11" s="58"/>
      <c r="V11" s="10"/>
      <c r="W11" s="5">
        <v>70</v>
      </c>
      <c r="X11" s="5"/>
      <c r="Y11" s="58"/>
      <c r="Z11" s="10"/>
      <c r="AA11" s="5"/>
      <c r="AB11" s="5">
        <v>92</v>
      </c>
      <c r="AC11" s="58"/>
      <c r="AD11" s="10"/>
      <c r="AE11" s="5"/>
      <c r="AF11" s="5">
        <v>92</v>
      </c>
      <c r="AG11" s="58"/>
      <c r="AH11" s="10"/>
      <c r="AI11" s="5"/>
      <c r="AJ11" s="5"/>
      <c r="AK11" s="58">
        <v>78</v>
      </c>
      <c r="AL11" s="10"/>
      <c r="AM11" s="5"/>
      <c r="AN11" s="5"/>
      <c r="AO11" s="58">
        <v>80</v>
      </c>
      <c r="AP11" s="10"/>
      <c r="AQ11" s="5"/>
      <c r="AR11" s="5"/>
      <c r="AS11" s="58"/>
      <c r="AT11" s="10">
        <v>94</v>
      </c>
      <c r="AU11" s="5">
        <v>100</v>
      </c>
      <c r="AV11" s="5">
        <v>100</v>
      </c>
      <c r="AW11" s="58">
        <v>90</v>
      </c>
      <c r="AY11" s="1">
        <f>Tabla423[[#This Row],['#]]</f>
        <v>2</v>
      </c>
      <c r="AZ11" s="13" t="str">
        <f>Tabla423[[#This Row],[Nombres]]</f>
        <v xml:space="preserve">Alberto </v>
      </c>
      <c r="BA11" s="14" t="str">
        <f>Tabla423[[#This Row],[Apellidos]]</f>
        <v xml:space="preserve">Alcántara Cuevas </v>
      </c>
      <c r="BB11" s="28" t="str">
        <f>Tabla423[[#This Row],[Codición Actual]]</f>
        <v>ACTIVO</v>
      </c>
      <c r="BC11" s="5">
        <f t="shared" ref="BC11:BC49" si="1">IFERROR(ROUND(AVERAGE(F11,J11,N11,R11,V11,Z11,AD11,AH11,AL11,AP11),0),"")</f>
        <v>78</v>
      </c>
      <c r="BD11" s="5">
        <f t="shared" ref="BD11:BD49" si="2">IFERROR(ROUND(AVERAGE(G11,K11,O11,S11,W11,AA11,AE11,AI11,AM11,AQ11),0),"")</f>
        <v>72</v>
      </c>
      <c r="BE11" s="5">
        <f t="shared" ref="BE11:BE49" si="3">IFERROR(ROUND(AVERAGE(H11,L11,P11,T11,X11,AB11,AF11,AJ11,AN11,AR11),0),"")</f>
        <v>91</v>
      </c>
      <c r="BF11" s="18">
        <f t="shared" ref="BF11:BF49" si="4">IFERROR(ROUND(AVERAGE(I11,M11,Q11,U11,Y11,AC11,AG11,AK11,AO11,AS11),0),"")</f>
        <v>79</v>
      </c>
      <c r="BG11" s="35">
        <f t="shared" ref="BG11:BG49" si="5">IF(COUNTBLANK((BC11:BF11))=0,ROUND(AVERAGE(BC11:BF11),0),"")</f>
        <v>80</v>
      </c>
      <c r="BH11" s="30">
        <f t="shared" ref="BH11:BH49" si="6">IF(COUNTA((AT11:AW11))=4,ROUND(AVERAGE(AT11:AW11),0),"")</f>
        <v>96</v>
      </c>
      <c r="BI11" s="8" t="str">
        <f t="shared" ref="BI11:BI49" si="7">IF(BH11&gt;=79.5,IF(BG11&lt;=69.4,BG11*50%,""),"")</f>
        <v/>
      </c>
      <c r="BJ11" s="63"/>
      <c r="BK11" s="5" t="str">
        <f t="shared" ref="BK11:BK49" si="8">IF(BH11&gt;=79.5,IF(BG11&lt;=69.4,BJ11*50%,""),"")</f>
        <v/>
      </c>
      <c r="BL11" s="18" t="str">
        <f t="shared" ref="BL11:BL49" si="9">IFERROR(BI11+BK11,"")</f>
        <v/>
      </c>
      <c r="BM11" s="10" t="str">
        <f t="shared" ref="BM11:BM49" si="10">IFERROR(IF(AND(BG11&lt;=69.4,BL11&lt;=69.4),BG11*30%,""),"")</f>
        <v/>
      </c>
      <c r="BN11" s="63"/>
      <c r="BO11" s="5" t="str">
        <f t="shared" ref="BO11:BO49" si="11">IF(BH11&gt;=79.5,IF(BL11&lt;=69.4,BN11*70%,""),"")</f>
        <v/>
      </c>
      <c r="BP11" s="18" t="str">
        <f t="shared" ref="BP11:BP49" si="12">IFERROR(BM11+BO11,"")</f>
        <v/>
      </c>
      <c r="BQ11" s="20" t="str">
        <f t="shared" ref="BQ11:BQ49" si="13">IF(COUNTBLANK((BC11:BH11))=0,IF(BB11="ACTIVO",IF(AND(BG11&gt;=69.5,BH11&gt;=79.5),"Aprobado",IF(AND(BL11&gt;=69.5,BH11&gt;=79.5),"Aprobado",IF(AND(BP11&gt;=69.5,BH11&gt;=79.5),"Aprobado","Reprobado"))),BB11),BB11)</f>
        <v>Aprobado</v>
      </c>
    </row>
    <row r="12" spans="2:69" ht="20.100000000000001" customHeight="1" x14ac:dyDescent="0.25">
      <c r="B12" s="49">
        <f>IFERROR('[1]LISTA 4TO A MULTIMEDIA'!A10,"")</f>
        <v>3</v>
      </c>
      <c r="C12" s="50" t="str">
        <f>IFERROR('[1]LISTA 4TO A MULTIMEDIA'!B10,"")</f>
        <v xml:space="preserve">Trino Sahino </v>
      </c>
      <c r="D12" s="13" t="str">
        <f>IFERROR('[1]LISTA 4TO A MULTIMEDIA'!C10,"")</f>
        <v>Arias Rosa</v>
      </c>
      <c r="E12" s="39" t="str">
        <f>IFERROR('[1]LISTA 4TO A MULTIMEDIA'!M10,"")</f>
        <v>ACTIVO</v>
      </c>
      <c r="F12" s="8">
        <v>70</v>
      </c>
      <c r="G12" s="5"/>
      <c r="H12" s="5"/>
      <c r="I12" s="58"/>
      <c r="J12" s="10"/>
      <c r="K12" s="5">
        <v>70</v>
      </c>
      <c r="L12" s="5"/>
      <c r="M12" s="58"/>
      <c r="N12" s="10"/>
      <c r="O12" s="5">
        <v>72</v>
      </c>
      <c r="P12" s="5"/>
      <c r="Q12" s="58"/>
      <c r="R12" s="10"/>
      <c r="S12" s="5"/>
      <c r="T12" s="5">
        <v>80</v>
      </c>
      <c r="U12" s="58"/>
      <c r="V12" s="10"/>
      <c r="W12" s="5">
        <v>80</v>
      </c>
      <c r="X12" s="5"/>
      <c r="Y12" s="58"/>
      <c r="Z12" s="10"/>
      <c r="AA12" s="5"/>
      <c r="AB12" s="5">
        <v>82</v>
      </c>
      <c r="AC12" s="58"/>
      <c r="AD12" s="10"/>
      <c r="AE12" s="5"/>
      <c r="AF12" s="5">
        <v>78</v>
      </c>
      <c r="AG12" s="58"/>
      <c r="AH12" s="10"/>
      <c r="AI12" s="5"/>
      <c r="AJ12" s="5"/>
      <c r="AK12" s="58">
        <v>70</v>
      </c>
      <c r="AL12" s="10"/>
      <c r="AM12" s="5"/>
      <c r="AN12" s="5"/>
      <c r="AO12" s="58">
        <v>72</v>
      </c>
      <c r="AP12" s="10"/>
      <c r="AQ12" s="5"/>
      <c r="AR12" s="5"/>
      <c r="AS12" s="58"/>
      <c r="AT12" s="10">
        <v>84</v>
      </c>
      <c r="AU12" s="5">
        <v>100</v>
      </c>
      <c r="AV12" s="5">
        <v>77</v>
      </c>
      <c r="AW12" s="58">
        <v>75</v>
      </c>
      <c r="AY12" s="1">
        <f>Tabla423[[#This Row],['#]]</f>
        <v>3</v>
      </c>
      <c r="AZ12" s="13" t="str">
        <f>Tabla423[[#This Row],[Nombres]]</f>
        <v xml:space="preserve">Trino Sahino </v>
      </c>
      <c r="BA12" s="14" t="str">
        <f>Tabla423[[#This Row],[Apellidos]]</f>
        <v>Arias Rosa</v>
      </c>
      <c r="BB12" s="28" t="str">
        <f>Tabla423[[#This Row],[Codición Actual]]</f>
        <v>ACTIVO</v>
      </c>
      <c r="BC12" s="5">
        <f t="shared" si="1"/>
        <v>70</v>
      </c>
      <c r="BD12" s="5">
        <f t="shared" si="2"/>
        <v>74</v>
      </c>
      <c r="BE12" s="5">
        <f t="shared" si="3"/>
        <v>80</v>
      </c>
      <c r="BF12" s="18">
        <f t="shared" si="4"/>
        <v>71</v>
      </c>
      <c r="BG12" s="35">
        <f t="shared" si="5"/>
        <v>74</v>
      </c>
      <c r="BH12" s="30">
        <f t="shared" si="6"/>
        <v>84</v>
      </c>
      <c r="BI12" s="8" t="str">
        <f t="shared" si="7"/>
        <v/>
      </c>
      <c r="BJ12" s="63"/>
      <c r="BK12" s="5" t="str">
        <f t="shared" si="8"/>
        <v/>
      </c>
      <c r="BL12" s="18" t="str">
        <f t="shared" si="9"/>
        <v/>
      </c>
      <c r="BM12" s="10" t="str">
        <f t="shared" si="10"/>
        <v/>
      </c>
      <c r="BN12" s="63"/>
      <c r="BO12" s="5" t="str">
        <f t="shared" si="11"/>
        <v/>
      </c>
      <c r="BP12" s="18" t="str">
        <f t="shared" si="12"/>
        <v/>
      </c>
      <c r="BQ12" s="20" t="str">
        <f t="shared" si="13"/>
        <v>Aprobado</v>
      </c>
    </row>
    <row r="13" spans="2:69" s="6" customFormat="1" ht="20.100000000000001" customHeight="1" x14ac:dyDescent="0.25">
      <c r="B13" s="49">
        <f>IFERROR('[1]LISTA 4TO A MULTIMEDIA'!A11,"")</f>
        <v>4</v>
      </c>
      <c r="C13" s="50" t="str">
        <f>IFERROR('[1]LISTA 4TO A MULTIMEDIA'!B11,"")</f>
        <v xml:space="preserve">Harolin Maciel </v>
      </c>
      <c r="D13" s="13" t="str">
        <f>IFERROR('[1]LISTA 4TO A MULTIMEDIA'!C11,"")</f>
        <v>Beriguete</v>
      </c>
      <c r="E13" s="39" t="str">
        <f>IFERROR('[1]LISTA 4TO A MULTIMEDIA'!M11,"")</f>
        <v>ACTIVO</v>
      </c>
      <c r="F13" s="8">
        <v>86</v>
      </c>
      <c r="G13" s="5"/>
      <c r="H13" s="5"/>
      <c r="I13" s="58"/>
      <c r="J13" s="10"/>
      <c r="K13" s="5">
        <v>92</v>
      </c>
      <c r="L13" s="5"/>
      <c r="M13" s="58"/>
      <c r="N13" s="10"/>
      <c r="O13" s="5">
        <v>94</v>
      </c>
      <c r="P13" s="5"/>
      <c r="Q13" s="58"/>
      <c r="R13" s="10"/>
      <c r="S13" s="5"/>
      <c r="T13" s="5">
        <v>94</v>
      </c>
      <c r="U13" s="58"/>
      <c r="V13" s="10"/>
      <c r="W13" s="5">
        <v>96</v>
      </c>
      <c r="X13" s="5"/>
      <c r="Y13" s="58"/>
      <c r="Z13" s="10"/>
      <c r="AA13" s="5"/>
      <c r="AB13" s="5">
        <v>94</v>
      </c>
      <c r="AC13" s="58"/>
      <c r="AD13" s="10"/>
      <c r="AE13" s="5"/>
      <c r="AF13" s="5">
        <v>94</v>
      </c>
      <c r="AG13" s="58"/>
      <c r="AH13" s="10"/>
      <c r="AI13" s="5"/>
      <c r="AJ13" s="5"/>
      <c r="AK13" s="58">
        <v>94</v>
      </c>
      <c r="AL13" s="10"/>
      <c r="AM13" s="5"/>
      <c r="AN13" s="5"/>
      <c r="AO13" s="58">
        <v>96</v>
      </c>
      <c r="AP13" s="10"/>
      <c r="AQ13" s="5"/>
      <c r="AR13" s="5"/>
      <c r="AS13" s="58"/>
      <c r="AT13" s="10">
        <v>94</v>
      </c>
      <c r="AU13" s="5">
        <v>85</v>
      </c>
      <c r="AV13" s="5">
        <v>94</v>
      </c>
      <c r="AW13" s="58">
        <v>94</v>
      </c>
      <c r="AY13" s="1">
        <f>Tabla423[[#This Row],['#]]</f>
        <v>4</v>
      </c>
      <c r="AZ13" s="13" t="str">
        <f>Tabla423[[#This Row],[Nombres]]</f>
        <v xml:space="preserve">Harolin Maciel </v>
      </c>
      <c r="BA13" s="14" t="str">
        <f>Tabla423[[#This Row],[Apellidos]]</f>
        <v>Beriguete</v>
      </c>
      <c r="BB13" s="28" t="str">
        <f>Tabla423[[#This Row],[Codición Actual]]</f>
        <v>ACTIVO</v>
      </c>
      <c r="BC13" s="5">
        <f t="shared" si="1"/>
        <v>86</v>
      </c>
      <c r="BD13" s="5">
        <f t="shared" si="2"/>
        <v>94</v>
      </c>
      <c r="BE13" s="5">
        <f t="shared" si="3"/>
        <v>94</v>
      </c>
      <c r="BF13" s="18">
        <f t="shared" si="4"/>
        <v>95</v>
      </c>
      <c r="BG13" s="35">
        <f t="shared" si="5"/>
        <v>92</v>
      </c>
      <c r="BH13" s="30">
        <f t="shared" si="6"/>
        <v>92</v>
      </c>
      <c r="BI13" s="8" t="str">
        <f t="shared" si="7"/>
        <v/>
      </c>
      <c r="BJ13" s="63"/>
      <c r="BK13" s="5" t="str">
        <f t="shared" si="8"/>
        <v/>
      </c>
      <c r="BL13" s="18" t="str">
        <f t="shared" si="9"/>
        <v/>
      </c>
      <c r="BM13" s="10" t="str">
        <f t="shared" si="10"/>
        <v/>
      </c>
      <c r="BN13" s="63"/>
      <c r="BO13" s="5" t="str">
        <f t="shared" si="11"/>
        <v/>
      </c>
      <c r="BP13" s="18" t="str">
        <f t="shared" si="12"/>
        <v/>
      </c>
      <c r="BQ13" s="20" t="str">
        <f t="shared" si="13"/>
        <v>Aprobado</v>
      </c>
    </row>
    <row r="14" spans="2:69" ht="20.100000000000001" customHeight="1" x14ac:dyDescent="0.25">
      <c r="B14" s="49">
        <f>IFERROR('[1]LISTA 4TO A MULTIMEDIA'!A12,"")</f>
        <v>5</v>
      </c>
      <c r="C14" s="50" t="str">
        <f>IFERROR('[1]LISTA 4TO A MULTIMEDIA'!B12,"")</f>
        <v xml:space="preserve">Arianny </v>
      </c>
      <c r="D14" s="13" t="str">
        <f>IFERROR('[1]LISTA 4TO A MULTIMEDIA'!C12,"")</f>
        <v xml:space="preserve">Bretón Fermín </v>
      </c>
      <c r="E14" s="39" t="str">
        <f>IFERROR('[1]LISTA 4TO A MULTIMEDIA'!M12,"")</f>
        <v>ACTIVO</v>
      </c>
      <c r="F14" s="8">
        <v>85</v>
      </c>
      <c r="G14" s="5"/>
      <c r="H14" s="5"/>
      <c r="I14" s="58"/>
      <c r="J14" s="10"/>
      <c r="K14" s="5">
        <v>94</v>
      </c>
      <c r="L14" s="5"/>
      <c r="M14" s="58"/>
      <c r="N14" s="10"/>
      <c r="O14" s="5">
        <v>96</v>
      </c>
      <c r="P14" s="5"/>
      <c r="Q14" s="58"/>
      <c r="R14" s="10"/>
      <c r="S14" s="5"/>
      <c r="T14" s="5">
        <v>95</v>
      </c>
      <c r="U14" s="58"/>
      <c r="V14" s="10"/>
      <c r="W14" s="5">
        <v>94</v>
      </c>
      <c r="X14" s="5"/>
      <c r="Y14" s="58"/>
      <c r="Z14" s="10"/>
      <c r="AA14" s="5"/>
      <c r="AB14" s="5">
        <v>96</v>
      </c>
      <c r="AC14" s="58"/>
      <c r="AD14" s="10"/>
      <c r="AE14" s="5"/>
      <c r="AF14" s="5">
        <v>94</v>
      </c>
      <c r="AG14" s="58"/>
      <c r="AH14" s="10"/>
      <c r="AI14" s="5"/>
      <c r="AJ14" s="5"/>
      <c r="AK14" s="58">
        <v>92</v>
      </c>
      <c r="AL14" s="10"/>
      <c r="AM14" s="5"/>
      <c r="AN14" s="5"/>
      <c r="AO14" s="58">
        <v>98</v>
      </c>
      <c r="AP14" s="10"/>
      <c r="AQ14" s="5"/>
      <c r="AR14" s="5"/>
      <c r="AS14" s="58"/>
      <c r="AT14" s="10">
        <v>94</v>
      </c>
      <c r="AU14" s="5">
        <v>100</v>
      </c>
      <c r="AV14" s="5">
        <v>100</v>
      </c>
      <c r="AW14" s="58">
        <v>95</v>
      </c>
      <c r="AY14" s="1">
        <f>Tabla423[[#This Row],['#]]</f>
        <v>5</v>
      </c>
      <c r="AZ14" s="13" t="str">
        <f>Tabla423[[#This Row],[Nombres]]</f>
        <v xml:space="preserve">Arianny </v>
      </c>
      <c r="BA14" s="14" t="str">
        <f>Tabla423[[#This Row],[Apellidos]]</f>
        <v xml:space="preserve">Bretón Fermín </v>
      </c>
      <c r="BB14" s="28" t="str">
        <f>Tabla423[[#This Row],[Codición Actual]]</f>
        <v>ACTIVO</v>
      </c>
      <c r="BC14" s="5">
        <f t="shared" si="1"/>
        <v>85</v>
      </c>
      <c r="BD14" s="5">
        <f t="shared" si="2"/>
        <v>95</v>
      </c>
      <c r="BE14" s="5">
        <f t="shared" si="3"/>
        <v>95</v>
      </c>
      <c r="BF14" s="18">
        <f t="shared" si="4"/>
        <v>95</v>
      </c>
      <c r="BG14" s="35">
        <f t="shared" si="5"/>
        <v>93</v>
      </c>
      <c r="BH14" s="30">
        <f t="shared" si="6"/>
        <v>97</v>
      </c>
      <c r="BI14" s="8" t="str">
        <f t="shared" si="7"/>
        <v/>
      </c>
      <c r="BJ14" s="63"/>
      <c r="BK14" s="5" t="str">
        <f t="shared" si="8"/>
        <v/>
      </c>
      <c r="BL14" s="18" t="str">
        <f t="shared" si="9"/>
        <v/>
      </c>
      <c r="BM14" s="10" t="str">
        <f t="shared" si="10"/>
        <v/>
      </c>
      <c r="BN14" s="63"/>
      <c r="BO14" s="5" t="str">
        <f t="shared" si="11"/>
        <v/>
      </c>
      <c r="BP14" s="18" t="str">
        <f t="shared" si="12"/>
        <v/>
      </c>
      <c r="BQ14" s="20" t="str">
        <f t="shared" si="13"/>
        <v>Aprobado</v>
      </c>
    </row>
    <row r="15" spans="2:69" ht="20.100000000000001" customHeight="1" x14ac:dyDescent="0.25">
      <c r="B15" s="49">
        <f>IFERROR('[1]LISTA 4TO A MULTIMEDIA'!A13,"")</f>
        <v>6</v>
      </c>
      <c r="C15" s="50" t="str">
        <f>IFERROR('[1]LISTA 4TO A MULTIMEDIA'!B13,"")</f>
        <v>Edison Alexander</v>
      </c>
      <c r="D15" s="13" t="str">
        <f>IFERROR('[1]LISTA 4TO A MULTIMEDIA'!C13,"")</f>
        <v>Chacón</v>
      </c>
      <c r="E15" s="39" t="str">
        <f>IFERROR('[1]LISTA 4TO A MULTIMEDIA'!M13,"")</f>
        <v>ACTIVO</v>
      </c>
      <c r="F15" s="8">
        <v>70</v>
      </c>
      <c r="G15" s="5"/>
      <c r="H15" s="5"/>
      <c r="I15" s="58"/>
      <c r="J15" s="10"/>
      <c r="K15" s="5"/>
      <c r="L15" s="5"/>
      <c r="M15" s="58"/>
      <c r="N15" s="10"/>
      <c r="O15" s="5"/>
      <c r="P15" s="5"/>
      <c r="Q15" s="58"/>
      <c r="R15" s="10"/>
      <c r="S15" s="5"/>
      <c r="T15" s="5"/>
      <c r="U15" s="58"/>
      <c r="V15" s="10"/>
      <c r="W15" s="5"/>
      <c r="X15" s="5"/>
      <c r="Y15" s="58"/>
      <c r="Z15" s="10"/>
      <c r="AA15" s="5"/>
      <c r="AB15" s="5"/>
      <c r="AC15" s="58"/>
      <c r="AD15" s="10"/>
      <c r="AE15" s="5"/>
      <c r="AF15" s="5"/>
      <c r="AG15" s="58"/>
      <c r="AH15" s="10"/>
      <c r="AI15" s="5"/>
      <c r="AJ15" s="5"/>
      <c r="AK15" s="58"/>
      <c r="AL15" s="10"/>
      <c r="AM15" s="5"/>
      <c r="AN15" s="5"/>
      <c r="AO15" s="58"/>
      <c r="AP15" s="10"/>
      <c r="AQ15" s="5"/>
      <c r="AR15" s="5"/>
      <c r="AS15" s="58"/>
      <c r="AT15" s="10">
        <v>80</v>
      </c>
      <c r="AU15" s="5"/>
      <c r="AV15" s="5"/>
      <c r="AW15" s="58"/>
      <c r="AY15" s="1">
        <f>Tabla423[[#This Row],['#]]</f>
        <v>6</v>
      </c>
      <c r="AZ15" s="13" t="str">
        <f>Tabla423[[#This Row],[Nombres]]</f>
        <v>Edison Alexander</v>
      </c>
      <c r="BA15" s="14" t="str">
        <f>Tabla423[[#This Row],[Apellidos]]</f>
        <v>Chacón</v>
      </c>
      <c r="BB15" s="28" t="str">
        <f>Tabla423[[#This Row],[Codición Actual]]</f>
        <v>ACTIVO</v>
      </c>
      <c r="BC15" s="5">
        <f t="shared" si="1"/>
        <v>70</v>
      </c>
      <c r="BD15" s="5" t="str">
        <f t="shared" si="2"/>
        <v/>
      </c>
      <c r="BE15" s="5" t="str">
        <f t="shared" si="3"/>
        <v/>
      </c>
      <c r="BF15" s="18" t="str">
        <f t="shared" si="4"/>
        <v/>
      </c>
      <c r="BG15" s="35" t="str">
        <f t="shared" si="5"/>
        <v/>
      </c>
      <c r="BH15" s="30" t="str">
        <f t="shared" si="6"/>
        <v/>
      </c>
      <c r="BI15" s="8" t="str">
        <f t="shared" si="7"/>
        <v/>
      </c>
      <c r="BJ15" s="63"/>
      <c r="BK15" s="5" t="str">
        <f t="shared" si="8"/>
        <v/>
      </c>
      <c r="BL15" s="18" t="str">
        <f t="shared" si="9"/>
        <v/>
      </c>
      <c r="BM15" s="10" t="str">
        <f t="shared" si="10"/>
        <v/>
      </c>
      <c r="BN15" s="63"/>
      <c r="BO15" s="5" t="str">
        <f t="shared" si="11"/>
        <v/>
      </c>
      <c r="BP15" s="18" t="str">
        <f t="shared" si="12"/>
        <v/>
      </c>
      <c r="BQ15" s="20" t="str">
        <f t="shared" si="13"/>
        <v>ACTIVO</v>
      </c>
    </row>
    <row r="16" spans="2:69" s="6" customFormat="1" ht="20.100000000000001" customHeight="1" x14ac:dyDescent="0.25">
      <c r="B16" s="49">
        <f>IFERROR('[1]LISTA 4TO A MULTIMEDIA'!A14,"")</f>
        <v>7</v>
      </c>
      <c r="C16" s="50" t="str">
        <f>IFERROR('[1]LISTA 4TO A MULTIMEDIA'!B14,"")</f>
        <v xml:space="preserve">Sharibel  </v>
      </c>
      <c r="D16" s="13" t="str">
        <f>IFERROR('[1]LISTA 4TO A MULTIMEDIA'!C14,"")</f>
        <v xml:space="preserve">Clase </v>
      </c>
      <c r="E16" s="39" t="str">
        <f>IFERROR('[1]LISTA 4TO A MULTIMEDIA'!M14,"")</f>
        <v>RETIRADO</v>
      </c>
      <c r="F16" s="8">
        <v>70</v>
      </c>
      <c r="G16" s="5"/>
      <c r="H16" s="5"/>
      <c r="I16" s="58"/>
      <c r="J16" s="10"/>
      <c r="K16" s="5"/>
      <c r="L16" s="5"/>
      <c r="M16" s="58"/>
      <c r="N16" s="10"/>
      <c r="O16" s="5"/>
      <c r="P16" s="5"/>
      <c r="Q16" s="58"/>
      <c r="R16" s="10"/>
      <c r="S16" s="5"/>
      <c r="T16" s="5"/>
      <c r="U16" s="58"/>
      <c r="V16" s="10"/>
      <c r="W16" s="5"/>
      <c r="X16" s="5"/>
      <c r="Y16" s="58"/>
      <c r="Z16" s="10"/>
      <c r="AA16" s="5"/>
      <c r="AB16" s="5"/>
      <c r="AC16" s="58"/>
      <c r="AD16" s="10"/>
      <c r="AE16" s="5"/>
      <c r="AF16" s="5"/>
      <c r="AG16" s="58"/>
      <c r="AH16" s="10"/>
      <c r="AI16" s="5"/>
      <c r="AJ16" s="5"/>
      <c r="AK16" s="58"/>
      <c r="AL16" s="10"/>
      <c r="AM16" s="5"/>
      <c r="AN16" s="5"/>
      <c r="AO16" s="58"/>
      <c r="AP16" s="10"/>
      <c r="AQ16" s="5"/>
      <c r="AR16" s="5"/>
      <c r="AS16" s="58"/>
      <c r="AT16" s="10">
        <v>90</v>
      </c>
      <c r="AU16" s="5"/>
      <c r="AV16" s="5"/>
      <c r="AW16" s="58"/>
      <c r="AY16" s="1">
        <f>Tabla423[[#This Row],['#]]</f>
        <v>7</v>
      </c>
      <c r="AZ16" s="13" t="str">
        <f>Tabla423[[#This Row],[Nombres]]</f>
        <v xml:space="preserve">Sharibel  </v>
      </c>
      <c r="BA16" s="14" t="str">
        <f>Tabla423[[#This Row],[Apellidos]]</f>
        <v xml:space="preserve">Clase </v>
      </c>
      <c r="BB16" s="28" t="str">
        <f>Tabla423[[#This Row],[Codición Actual]]</f>
        <v>RETIRADO</v>
      </c>
      <c r="BC16" s="5">
        <f t="shared" si="1"/>
        <v>70</v>
      </c>
      <c r="BD16" s="5" t="str">
        <f t="shared" si="2"/>
        <v/>
      </c>
      <c r="BE16" s="5" t="str">
        <f t="shared" si="3"/>
        <v/>
      </c>
      <c r="BF16" s="18" t="str">
        <f t="shared" si="4"/>
        <v/>
      </c>
      <c r="BG16" s="35" t="str">
        <f t="shared" si="5"/>
        <v/>
      </c>
      <c r="BH16" s="30" t="str">
        <f t="shared" si="6"/>
        <v/>
      </c>
      <c r="BI16" s="8" t="str">
        <f t="shared" si="7"/>
        <v/>
      </c>
      <c r="BJ16" s="63"/>
      <c r="BK16" s="5" t="str">
        <f t="shared" si="8"/>
        <v/>
      </c>
      <c r="BL16" s="18" t="str">
        <f t="shared" si="9"/>
        <v/>
      </c>
      <c r="BM16" s="10" t="str">
        <f t="shared" si="10"/>
        <v/>
      </c>
      <c r="BN16" s="63"/>
      <c r="BO16" s="5" t="str">
        <f t="shared" si="11"/>
        <v/>
      </c>
      <c r="BP16" s="18" t="str">
        <f t="shared" si="12"/>
        <v/>
      </c>
      <c r="BQ16" s="20" t="str">
        <f t="shared" si="13"/>
        <v>RETIRADO</v>
      </c>
    </row>
    <row r="17" spans="2:69" ht="20.100000000000001" customHeight="1" x14ac:dyDescent="0.25">
      <c r="B17" s="49">
        <f>IFERROR('[1]LISTA 4TO A MULTIMEDIA'!A15,"")</f>
        <v>8</v>
      </c>
      <c r="C17" s="50" t="str">
        <f>IFERROR('[1]LISTA 4TO A MULTIMEDIA'!B15,"")</f>
        <v xml:space="preserve">Saviel </v>
      </c>
      <c r="D17" s="13" t="str">
        <f>IFERROR('[1]LISTA 4TO A MULTIMEDIA'!C15,"")</f>
        <v>Del Rosario</v>
      </c>
      <c r="E17" s="39" t="str">
        <f>IFERROR('[1]LISTA 4TO A MULTIMEDIA'!M15,"")</f>
        <v>ACTIVO</v>
      </c>
      <c r="F17" s="8">
        <v>85</v>
      </c>
      <c r="G17" s="5"/>
      <c r="H17" s="5"/>
      <c r="I17" s="58"/>
      <c r="J17" s="10"/>
      <c r="K17" s="5">
        <v>92</v>
      </c>
      <c r="L17" s="5"/>
      <c r="M17" s="58"/>
      <c r="N17" s="10"/>
      <c r="O17" s="5">
        <v>90</v>
      </c>
      <c r="P17" s="5"/>
      <c r="Q17" s="58"/>
      <c r="R17" s="10"/>
      <c r="S17" s="5"/>
      <c r="T17" s="5">
        <v>92</v>
      </c>
      <c r="U17" s="58"/>
      <c r="V17" s="10"/>
      <c r="W17" s="5">
        <v>94</v>
      </c>
      <c r="X17" s="5"/>
      <c r="Y17" s="58"/>
      <c r="Z17" s="10"/>
      <c r="AA17" s="5"/>
      <c r="AB17" s="5">
        <v>94</v>
      </c>
      <c r="AC17" s="58"/>
      <c r="AD17" s="10"/>
      <c r="AE17" s="5"/>
      <c r="AF17" s="5">
        <v>95</v>
      </c>
      <c r="AG17" s="58"/>
      <c r="AH17" s="10"/>
      <c r="AI17" s="5"/>
      <c r="AJ17" s="5"/>
      <c r="AK17" s="58">
        <v>94</v>
      </c>
      <c r="AL17" s="10"/>
      <c r="AM17" s="5"/>
      <c r="AN17" s="5"/>
      <c r="AO17" s="58">
        <v>96</v>
      </c>
      <c r="AP17" s="10"/>
      <c r="AQ17" s="5"/>
      <c r="AR17" s="5"/>
      <c r="AS17" s="58"/>
      <c r="AT17" s="10">
        <v>94</v>
      </c>
      <c r="AU17" s="5">
        <v>97</v>
      </c>
      <c r="AV17" s="5">
        <v>94</v>
      </c>
      <c r="AW17" s="58">
        <v>100</v>
      </c>
      <c r="AY17" s="1">
        <f>Tabla423[[#This Row],['#]]</f>
        <v>8</v>
      </c>
      <c r="AZ17" s="13" t="str">
        <f>Tabla423[[#This Row],[Nombres]]</f>
        <v xml:space="preserve">Saviel </v>
      </c>
      <c r="BA17" s="14" t="str">
        <f>Tabla423[[#This Row],[Apellidos]]</f>
        <v>Del Rosario</v>
      </c>
      <c r="BB17" s="28" t="str">
        <f>Tabla423[[#This Row],[Codición Actual]]</f>
        <v>ACTIVO</v>
      </c>
      <c r="BC17" s="5">
        <f t="shared" si="1"/>
        <v>85</v>
      </c>
      <c r="BD17" s="5">
        <f t="shared" si="2"/>
        <v>92</v>
      </c>
      <c r="BE17" s="5">
        <f t="shared" si="3"/>
        <v>94</v>
      </c>
      <c r="BF17" s="18">
        <f t="shared" si="4"/>
        <v>95</v>
      </c>
      <c r="BG17" s="35">
        <f t="shared" si="5"/>
        <v>92</v>
      </c>
      <c r="BH17" s="30">
        <f t="shared" si="6"/>
        <v>96</v>
      </c>
      <c r="BI17" s="8" t="str">
        <f t="shared" si="7"/>
        <v/>
      </c>
      <c r="BJ17" s="63"/>
      <c r="BK17" s="5" t="str">
        <f t="shared" si="8"/>
        <v/>
      </c>
      <c r="BL17" s="18" t="str">
        <f t="shared" si="9"/>
        <v/>
      </c>
      <c r="BM17" s="10" t="str">
        <f t="shared" si="10"/>
        <v/>
      </c>
      <c r="BN17" s="63"/>
      <c r="BO17" s="5" t="str">
        <f t="shared" si="11"/>
        <v/>
      </c>
      <c r="BP17" s="18" t="str">
        <f t="shared" si="12"/>
        <v/>
      </c>
      <c r="BQ17" s="20" t="str">
        <f t="shared" si="13"/>
        <v>Aprobado</v>
      </c>
    </row>
    <row r="18" spans="2:69" ht="20.100000000000001" customHeight="1" x14ac:dyDescent="0.25">
      <c r="B18" s="49">
        <f>IFERROR('[1]LISTA 4TO A MULTIMEDIA'!A16,"")</f>
        <v>9</v>
      </c>
      <c r="C18" s="50" t="str">
        <f>IFERROR('[1]LISTA 4TO A MULTIMEDIA'!B16,"")</f>
        <v xml:space="preserve">Juan </v>
      </c>
      <c r="D18" s="13" t="str">
        <f>IFERROR('[1]LISTA 4TO A MULTIMEDIA'!C16,"")</f>
        <v>Del Rosario Mesa</v>
      </c>
      <c r="E18" s="39" t="str">
        <f>IFERROR('[1]LISTA 4TO A MULTIMEDIA'!M16,"")</f>
        <v>ACTIVO</v>
      </c>
      <c r="F18" s="8">
        <v>80</v>
      </c>
      <c r="G18" s="5"/>
      <c r="H18" s="5"/>
      <c r="I18" s="59"/>
      <c r="J18" s="10"/>
      <c r="K18" s="5">
        <v>65</v>
      </c>
      <c r="L18" s="5"/>
      <c r="M18" s="59"/>
      <c r="N18" s="10"/>
      <c r="O18" s="5">
        <v>65</v>
      </c>
      <c r="P18" s="5"/>
      <c r="Q18" s="59"/>
      <c r="R18" s="10"/>
      <c r="S18" s="5"/>
      <c r="T18" s="5">
        <v>70</v>
      </c>
      <c r="U18" s="59"/>
      <c r="V18" s="10"/>
      <c r="W18" s="5">
        <v>65</v>
      </c>
      <c r="X18" s="5"/>
      <c r="Y18" s="59"/>
      <c r="Z18" s="10"/>
      <c r="AA18" s="5"/>
      <c r="AB18" s="5">
        <v>78</v>
      </c>
      <c r="AC18" s="59"/>
      <c r="AD18" s="10"/>
      <c r="AE18" s="5"/>
      <c r="AF18" s="5">
        <v>80</v>
      </c>
      <c r="AG18" s="59"/>
      <c r="AH18" s="10"/>
      <c r="AI18" s="5"/>
      <c r="AJ18" s="5"/>
      <c r="AK18" s="58">
        <v>65</v>
      </c>
      <c r="AL18" s="10"/>
      <c r="AM18" s="5"/>
      <c r="AN18" s="5"/>
      <c r="AO18" s="59">
        <v>72</v>
      </c>
      <c r="AP18" s="10"/>
      <c r="AQ18" s="5"/>
      <c r="AR18" s="5"/>
      <c r="AS18" s="59"/>
      <c r="AT18" s="10">
        <v>80</v>
      </c>
      <c r="AU18" s="5">
        <v>77</v>
      </c>
      <c r="AV18" s="5">
        <v>78</v>
      </c>
      <c r="AW18" s="59">
        <v>85</v>
      </c>
      <c r="AY18" s="1">
        <f>Tabla423[[#This Row],['#]]</f>
        <v>9</v>
      </c>
      <c r="AZ18" s="13" t="str">
        <f>Tabla423[[#This Row],[Nombres]]</f>
        <v xml:space="preserve">Juan </v>
      </c>
      <c r="BA18" s="14" t="str">
        <f>Tabla423[[#This Row],[Apellidos]]</f>
        <v>Del Rosario Mesa</v>
      </c>
      <c r="BB18" s="28" t="str">
        <f>Tabla423[[#This Row],[Codición Actual]]</f>
        <v>ACTIVO</v>
      </c>
      <c r="BC18" s="5">
        <f t="shared" si="1"/>
        <v>80</v>
      </c>
      <c r="BD18" s="5">
        <f t="shared" si="2"/>
        <v>65</v>
      </c>
      <c r="BE18" s="5">
        <f t="shared" si="3"/>
        <v>76</v>
      </c>
      <c r="BF18" s="18">
        <f t="shared" si="4"/>
        <v>69</v>
      </c>
      <c r="BG18" s="35">
        <f t="shared" si="5"/>
        <v>73</v>
      </c>
      <c r="BH18" s="30">
        <f t="shared" si="6"/>
        <v>80</v>
      </c>
      <c r="BI18" s="8" t="str">
        <f t="shared" si="7"/>
        <v/>
      </c>
      <c r="BJ18" s="63"/>
      <c r="BK18" s="5" t="str">
        <f t="shared" si="8"/>
        <v/>
      </c>
      <c r="BL18" s="18" t="str">
        <f t="shared" si="9"/>
        <v/>
      </c>
      <c r="BM18" s="10" t="str">
        <f t="shared" si="10"/>
        <v/>
      </c>
      <c r="BN18" s="63"/>
      <c r="BO18" s="5" t="str">
        <f t="shared" si="11"/>
        <v/>
      </c>
      <c r="BP18" s="18" t="str">
        <f t="shared" si="12"/>
        <v/>
      </c>
      <c r="BQ18" s="20" t="str">
        <f t="shared" si="13"/>
        <v>Aprobado</v>
      </c>
    </row>
    <row r="19" spans="2:69" ht="20.100000000000001" customHeight="1" x14ac:dyDescent="0.25">
      <c r="B19" s="49">
        <f>IFERROR('[1]LISTA 4TO A MULTIMEDIA'!A17,"")</f>
        <v>10</v>
      </c>
      <c r="C19" s="50" t="str">
        <f>IFERROR('[1]LISTA 4TO A MULTIMEDIA'!B17,"")</f>
        <v xml:space="preserve">Yulian Miguel </v>
      </c>
      <c r="D19" s="13" t="str">
        <f>IFERROR('[1]LISTA 4TO A MULTIMEDIA'!C17,"")</f>
        <v xml:space="preserve">Del Villar Lorenzo </v>
      </c>
      <c r="E19" s="39" t="str">
        <f>IFERROR('[1]LISTA 4TO A MULTIMEDIA'!M17,"")</f>
        <v>ACTIVO</v>
      </c>
      <c r="F19" s="8">
        <v>82</v>
      </c>
      <c r="G19" s="5"/>
      <c r="H19" s="5"/>
      <c r="I19" s="58"/>
      <c r="J19" s="10"/>
      <c r="K19" s="5">
        <v>70</v>
      </c>
      <c r="L19" s="5"/>
      <c r="M19" s="58"/>
      <c r="N19" s="10"/>
      <c r="O19" s="5">
        <v>76</v>
      </c>
      <c r="P19" s="5"/>
      <c r="Q19" s="58"/>
      <c r="R19" s="10"/>
      <c r="S19" s="5"/>
      <c r="T19" s="5">
        <v>86</v>
      </c>
      <c r="U19" s="58"/>
      <c r="V19" s="10"/>
      <c r="W19" s="5">
        <v>70</v>
      </c>
      <c r="X19" s="5"/>
      <c r="Y19" s="58"/>
      <c r="Z19" s="10"/>
      <c r="AA19" s="5"/>
      <c r="AB19" s="5">
        <v>90</v>
      </c>
      <c r="AC19" s="58"/>
      <c r="AD19" s="10"/>
      <c r="AE19" s="5"/>
      <c r="AF19" s="5">
        <v>94</v>
      </c>
      <c r="AG19" s="58"/>
      <c r="AH19" s="10"/>
      <c r="AI19" s="5"/>
      <c r="AJ19" s="5"/>
      <c r="AK19" s="2">
        <v>92</v>
      </c>
      <c r="AL19" s="10"/>
      <c r="AM19" s="5"/>
      <c r="AN19" s="5"/>
      <c r="AO19" s="58">
        <v>90</v>
      </c>
      <c r="AP19" s="10"/>
      <c r="AQ19" s="5"/>
      <c r="AR19" s="5"/>
      <c r="AS19" s="58"/>
      <c r="AT19" s="10">
        <v>80</v>
      </c>
      <c r="AU19" s="5">
        <v>90</v>
      </c>
      <c r="AV19" s="5">
        <v>76</v>
      </c>
      <c r="AW19" s="58">
        <v>92</v>
      </c>
      <c r="AY19" s="1">
        <f>Tabla423[[#This Row],['#]]</f>
        <v>10</v>
      </c>
      <c r="AZ19" s="13" t="str">
        <f>Tabla423[[#This Row],[Nombres]]</f>
        <v xml:space="preserve">Yulian Miguel </v>
      </c>
      <c r="BA19" s="14" t="str">
        <f>Tabla423[[#This Row],[Apellidos]]</f>
        <v xml:space="preserve">Del Villar Lorenzo </v>
      </c>
      <c r="BB19" s="28" t="str">
        <f>Tabla423[[#This Row],[Codición Actual]]</f>
        <v>ACTIVO</v>
      </c>
      <c r="BC19" s="5">
        <f t="shared" si="1"/>
        <v>82</v>
      </c>
      <c r="BD19" s="5">
        <f t="shared" si="2"/>
        <v>72</v>
      </c>
      <c r="BE19" s="5">
        <f t="shared" si="3"/>
        <v>90</v>
      </c>
      <c r="BF19" s="18">
        <f>IFERROR(ROUND(AVERAGE(I19,M19,Q19,U19,Y19,AC19,AG19,AK18,AO19,AS19),0),"")</f>
        <v>78</v>
      </c>
      <c r="BG19" s="35">
        <f t="shared" si="5"/>
        <v>81</v>
      </c>
      <c r="BH19" s="30">
        <f t="shared" si="6"/>
        <v>85</v>
      </c>
      <c r="BI19" s="8" t="str">
        <f t="shared" si="7"/>
        <v/>
      </c>
      <c r="BJ19" s="63"/>
      <c r="BK19" s="5" t="str">
        <f t="shared" si="8"/>
        <v/>
      </c>
      <c r="BL19" s="18" t="str">
        <f t="shared" si="9"/>
        <v/>
      </c>
      <c r="BM19" s="10" t="str">
        <f t="shared" si="10"/>
        <v/>
      </c>
      <c r="BN19" s="63"/>
      <c r="BO19" s="5" t="str">
        <f t="shared" si="11"/>
        <v/>
      </c>
      <c r="BP19" s="18" t="str">
        <f t="shared" si="12"/>
        <v/>
      </c>
      <c r="BQ19" s="20" t="str">
        <f t="shared" si="13"/>
        <v>Aprobado</v>
      </c>
    </row>
    <row r="20" spans="2:69" s="6" customFormat="1" ht="20.100000000000001" customHeight="1" x14ac:dyDescent="0.25">
      <c r="B20" s="49">
        <f>IFERROR('[1]LISTA 4TO A MULTIMEDIA'!A18,"")</f>
        <v>11</v>
      </c>
      <c r="C20" s="50" t="str">
        <f>IFERROR('[1]LISTA 4TO A MULTIMEDIA'!B18,"")</f>
        <v>Wagner Silvilio</v>
      </c>
      <c r="D20" s="13" t="str">
        <f>IFERROR('[1]LISTA 4TO A MULTIMEDIA'!C18,"")</f>
        <v>Estepan Ramírez</v>
      </c>
      <c r="E20" s="39" t="str">
        <f>IFERROR('[1]LISTA 4TO A MULTIMEDIA'!M18,"")</f>
        <v>ACTIVO</v>
      </c>
      <c r="F20" s="8">
        <v>80</v>
      </c>
      <c r="G20" s="5"/>
      <c r="H20" s="5"/>
      <c r="I20" s="58"/>
      <c r="J20" s="10"/>
      <c r="K20" s="5">
        <v>76</v>
      </c>
      <c r="L20" s="5"/>
      <c r="M20" s="58"/>
      <c r="N20" s="10"/>
      <c r="O20" s="5">
        <v>70</v>
      </c>
      <c r="P20" s="5"/>
      <c r="Q20" s="58"/>
      <c r="R20" s="10"/>
      <c r="S20" s="5"/>
      <c r="T20" s="5">
        <v>85</v>
      </c>
      <c r="U20" s="58"/>
      <c r="V20" s="10"/>
      <c r="W20" s="5">
        <v>72</v>
      </c>
      <c r="X20" s="5"/>
      <c r="Y20" s="58"/>
      <c r="Z20" s="10"/>
      <c r="AA20" s="5"/>
      <c r="AB20" s="5">
        <v>86</v>
      </c>
      <c r="AC20" s="58"/>
      <c r="AD20" s="10"/>
      <c r="AE20" s="5"/>
      <c r="AF20" s="5">
        <v>90</v>
      </c>
      <c r="AG20" s="58"/>
      <c r="AH20" s="10"/>
      <c r="AI20" s="5"/>
      <c r="AJ20" s="5"/>
      <c r="AK20" s="58">
        <v>78</v>
      </c>
      <c r="AL20" s="10"/>
      <c r="AM20" s="5"/>
      <c r="AN20" s="5"/>
      <c r="AO20" s="58">
        <v>80</v>
      </c>
      <c r="AP20" s="10"/>
      <c r="AQ20" s="5"/>
      <c r="AR20" s="5"/>
      <c r="AS20" s="58"/>
      <c r="AT20" s="10">
        <v>90</v>
      </c>
      <c r="AU20" s="5">
        <v>100</v>
      </c>
      <c r="AV20" s="5">
        <v>65</v>
      </c>
      <c r="AW20" s="58">
        <v>94</v>
      </c>
      <c r="AY20" s="1">
        <f>Tabla423[[#This Row],['#]]</f>
        <v>11</v>
      </c>
      <c r="AZ20" s="13" t="str">
        <f>Tabla423[[#This Row],[Nombres]]</f>
        <v>Wagner Silvilio</v>
      </c>
      <c r="BA20" s="14" t="str">
        <f>Tabla423[[#This Row],[Apellidos]]</f>
        <v>Estepan Ramírez</v>
      </c>
      <c r="BB20" s="28" t="str">
        <f>Tabla423[[#This Row],[Codición Actual]]</f>
        <v>ACTIVO</v>
      </c>
      <c r="BC20" s="5">
        <f t="shared" si="1"/>
        <v>80</v>
      </c>
      <c r="BD20" s="5">
        <f t="shared" si="2"/>
        <v>73</v>
      </c>
      <c r="BE20" s="5">
        <f t="shared" si="3"/>
        <v>87</v>
      </c>
      <c r="BF20" s="18">
        <f t="shared" si="4"/>
        <v>79</v>
      </c>
      <c r="BG20" s="35">
        <f t="shared" si="5"/>
        <v>80</v>
      </c>
      <c r="BH20" s="30">
        <f t="shared" si="6"/>
        <v>87</v>
      </c>
      <c r="BI20" s="8" t="str">
        <f t="shared" si="7"/>
        <v/>
      </c>
      <c r="BJ20" s="63"/>
      <c r="BK20" s="5" t="str">
        <f t="shared" si="8"/>
        <v/>
      </c>
      <c r="BL20" s="18" t="str">
        <f t="shared" si="9"/>
        <v/>
      </c>
      <c r="BM20" s="10" t="str">
        <f t="shared" si="10"/>
        <v/>
      </c>
      <c r="BN20" s="63"/>
      <c r="BO20" s="5" t="str">
        <f t="shared" si="11"/>
        <v/>
      </c>
      <c r="BP20" s="18" t="str">
        <f t="shared" si="12"/>
        <v/>
      </c>
      <c r="BQ20" s="20" t="str">
        <f t="shared" si="13"/>
        <v>Aprobado</v>
      </c>
    </row>
    <row r="21" spans="2:69" ht="20.100000000000001" customHeight="1" x14ac:dyDescent="0.25">
      <c r="B21" s="49">
        <f>IFERROR('[1]LISTA 4TO A MULTIMEDIA'!A19,"")</f>
        <v>12</v>
      </c>
      <c r="C21" s="50" t="str">
        <f>IFERROR('[1]LISTA 4TO A MULTIMEDIA'!B19,"")</f>
        <v xml:space="preserve">Juan Ramón </v>
      </c>
      <c r="D21" s="13" t="str">
        <f>IFERROR('[1]LISTA 4TO A MULTIMEDIA'!C19,"")</f>
        <v xml:space="preserve">Fernández Díaz </v>
      </c>
      <c r="E21" s="39" t="str">
        <f>IFERROR('[1]LISTA 4TO A MULTIMEDIA'!M19,"")</f>
        <v>ACTIVO</v>
      </c>
      <c r="F21" s="8">
        <v>80</v>
      </c>
      <c r="G21" s="5"/>
      <c r="H21" s="5"/>
      <c r="I21" s="58"/>
      <c r="J21" s="10"/>
      <c r="K21" s="5">
        <v>80</v>
      </c>
      <c r="L21" s="5"/>
      <c r="M21" s="58"/>
      <c r="N21" s="10"/>
      <c r="O21" s="5">
        <v>80</v>
      </c>
      <c r="P21" s="5"/>
      <c r="Q21" s="58"/>
      <c r="R21" s="10"/>
      <c r="S21" s="5"/>
      <c r="T21" s="5">
        <v>90</v>
      </c>
      <c r="U21" s="58"/>
      <c r="V21" s="10"/>
      <c r="W21" s="5">
        <v>90</v>
      </c>
      <c r="X21" s="5"/>
      <c r="Y21" s="58"/>
      <c r="Z21" s="10"/>
      <c r="AA21" s="5"/>
      <c r="AB21" s="5">
        <v>88</v>
      </c>
      <c r="AC21" s="58"/>
      <c r="AD21" s="10"/>
      <c r="AE21" s="5"/>
      <c r="AF21" s="5">
        <v>92</v>
      </c>
      <c r="AG21" s="58"/>
      <c r="AH21" s="10"/>
      <c r="AI21" s="5"/>
      <c r="AJ21" s="5"/>
      <c r="AK21" s="58">
        <v>90</v>
      </c>
      <c r="AL21" s="10"/>
      <c r="AM21" s="5"/>
      <c r="AN21" s="5"/>
      <c r="AO21" s="58">
        <v>91</v>
      </c>
      <c r="AP21" s="10"/>
      <c r="AQ21" s="5"/>
      <c r="AR21" s="5"/>
      <c r="AS21" s="58"/>
      <c r="AT21" s="10">
        <v>86</v>
      </c>
      <c r="AU21" s="5">
        <v>100</v>
      </c>
      <c r="AV21" s="5">
        <v>100</v>
      </c>
      <c r="AW21" s="58">
        <v>100</v>
      </c>
      <c r="AY21" s="1">
        <f>Tabla423[[#This Row],['#]]</f>
        <v>12</v>
      </c>
      <c r="AZ21" s="13" t="str">
        <f>Tabla423[[#This Row],[Nombres]]</f>
        <v xml:space="preserve">Juan Ramón </v>
      </c>
      <c r="BA21" s="14" t="str">
        <f>Tabla423[[#This Row],[Apellidos]]</f>
        <v xml:space="preserve">Fernández Díaz </v>
      </c>
      <c r="BB21" s="28" t="str">
        <f>Tabla423[[#This Row],[Codición Actual]]</f>
        <v>ACTIVO</v>
      </c>
      <c r="BC21" s="5">
        <f t="shared" si="1"/>
        <v>80</v>
      </c>
      <c r="BD21" s="5">
        <f t="shared" si="2"/>
        <v>83</v>
      </c>
      <c r="BE21" s="5">
        <f t="shared" si="3"/>
        <v>90</v>
      </c>
      <c r="BF21" s="18">
        <f t="shared" si="4"/>
        <v>91</v>
      </c>
      <c r="BG21" s="35">
        <f t="shared" si="5"/>
        <v>86</v>
      </c>
      <c r="BH21" s="30">
        <f t="shared" si="6"/>
        <v>97</v>
      </c>
      <c r="BI21" s="8" t="str">
        <f t="shared" si="7"/>
        <v/>
      </c>
      <c r="BJ21" s="63"/>
      <c r="BK21" s="5" t="str">
        <f t="shared" si="8"/>
        <v/>
      </c>
      <c r="BL21" s="18" t="str">
        <f t="shared" si="9"/>
        <v/>
      </c>
      <c r="BM21" s="10" t="str">
        <f t="shared" si="10"/>
        <v/>
      </c>
      <c r="BN21" s="63"/>
      <c r="BO21" s="5" t="str">
        <f t="shared" si="11"/>
        <v/>
      </c>
      <c r="BP21" s="18" t="str">
        <f t="shared" si="12"/>
        <v/>
      </c>
      <c r="BQ21" s="20" t="str">
        <f t="shared" si="13"/>
        <v>Aprobado</v>
      </c>
    </row>
    <row r="22" spans="2:69" s="3" customFormat="1" ht="20.100000000000001" customHeight="1" x14ac:dyDescent="0.25">
      <c r="B22" s="49">
        <f>IFERROR('[1]LISTA 4TO A MULTIMEDIA'!A20,"")</f>
        <v>13</v>
      </c>
      <c r="C22" s="50" t="str">
        <f>IFERROR('[1]LISTA 4TO A MULTIMEDIA'!B20,"")</f>
        <v xml:space="preserve">Jadiel Alexander </v>
      </c>
      <c r="D22" s="13" t="str">
        <f>IFERROR('[1]LISTA 4TO A MULTIMEDIA'!C20,"")</f>
        <v>Maldonado Castillo</v>
      </c>
      <c r="E22" s="39" t="str">
        <f>IFERROR('[1]LISTA 4TO A MULTIMEDIA'!M20,"")</f>
        <v>ACTIVO</v>
      </c>
      <c r="F22" s="8">
        <v>80</v>
      </c>
      <c r="G22" s="5"/>
      <c r="H22" s="5"/>
      <c r="I22" s="59"/>
      <c r="J22" s="10"/>
      <c r="K22" s="5">
        <v>90</v>
      </c>
      <c r="L22" s="5"/>
      <c r="M22" s="59"/>
      <c r="N22" s="10"/>
      <c r="O22" s="5">
        <v>88</v>
      </c>
      <c r="P22" s="5"/>
      <c r="Q22" s="59"/>
      <c r="R22" s="10"/>
      <c r="S22" s="5"/>
      <c r="T22" s="5">
        <v>92</v>
      </c>
      <c r="U22" s="59"/>
      <c r="V22" s="10"/>
      <c r="W22" s="5">
        <v>90</v>
      </c>
      <c r="X22" s="5"/>
      <c r="Y22" s="59"/>
      <c r="Z22" s="10"/>
      <c r="AA22" s="5"/>
      <c r="AB22" s="5">
        <v>92</v>
      </c>
      <c r="AC22" s="59"/>
      <c r="AD22" s="10"/>
      <c r="AE22" s="5"/>
      <c r="AF22" s="5">
        <v>92</v>
      </c>
      <c r="AG22" s="59"/>
      <c r="AH22" s="10"/>
      <c r="AI22" s="5"/>
      <c r="AJ22" s="5"/>
      <c r="AK22" s="59">
        <v>94</v>
      </c>
      <c r="AL22" s="10"/>
      <c r="AM22" s="5"/>
      <c r="AN22" s="5"/>
      <c r="AO22" s="59">
        <v>98</v>
      </c>
      <c r="AP22" s="10"/>
      <c r="AQ22" s="5"/>
      <c r="AR22" s="5"/>
      <c r="AS22" s="59"/>
      <c r="AT22" s="10">
        <v>92</v>
      </c>
      <c r="AU22" s="5">
        <v>80</v>
      </c>
      <c r="AV22" s="5">
        <v>74</v>
      </c>
      <c r="AW22" s="59">
        <v>98</v>
      </c>
      <c r="AY22" s="1">
        <f>Tabla423[[#This Row],['#]]</f>
        <v>13</v>
      </c>
      <c r="AZ22" s="13" t="str">
        <f>Tabla423[[#This Row],[Nombres]]</f>
        <v xml:space="preserve">Jadiel Alexander </v>
      </c>
      <c r="BA22" s="14" t="str">
        <f>Tabla423[[#This Row],[Apellidos]]</f>
        <v>Maldonado Castillo</v>
      </c>
      <c r="BB22" s="28" t="str">
        <f>Tabla423[[#This Row],[Codición Actual]]</f>
        <v>ACTIVO</v>
      </c>
      <c r="BC22" s="5">
        <f t="shared" si="1"/>
        <v>80</v>
      </c>
      <c r="BD22" s="5">
        <f t="shared" si="2"/>
        <v>89</v>
      </c>
      <c r="BE22" s="5">
        <f t="shared" si="3"/>
        <v>92</v>
      </c>
      <c r="BF22" s="18">
        <f t="shared" si="4"/>
        <v>96</v>
      </c>
      <c r="BG22" s="35">
        <f t="shared" si="5"/>
        <v>89</v>
      </c>
      <c r="BH22" s="30">
        <f t="shared" si="6"/>
        <v>86</v>
      </c>
      <c r="BI22" s="8" t="str">
        <f t="shared" si="7"/>
        <v/>
      </c>
      <c r="BJ22" s="63"/>
      <c r="BK22" s="5" t="str">
        <f t="shared" si="8"/>
        <v/>
      </c>
      <c r="BL22" s="18" t="str">
        <f t="shared" si="9"/>
        <v/>
      </c>
      <c r="BM22" s="10" t="str">
        <f t="shared" si="10"/>
        <v/>
      </c>
      <c r="BN22" s="63"/>
      <c r="BO22" s="5" t="str">
        <f t="shared" si="11"/>
        <v/>
      </c>
      <c r="BP22" s="18" t="str">
        <f t="shared" si="12"/>
        <v/>
      </c>
      <c r="BQ22" s="20" t="str">
        <f t="shared" si="13"/>
        <v>Aprobado</v>
      </c>
    </row>
    <row r="23" spans="2:69" s="6" customFormat="1" ht="20.100000000000001" customHeight="1" x14ac:dyDescent="0.25">
      <c r="B23" s="49">
        <f>IFERROR('[1]LISTA 4TO A MULTIMEDIA'!A21,"")</f>
        <v>14</v>
      </c>
      <c r="C23" s="50" t="str">
        <f>IFERROR('[1]LISTA 4TO A MULTIMEDIA'!B21,"")</f>
        <v>Miguel Angel</v>
      </c>
      <c r="D23" s="13" t="str">
        <f>IFERROR('[1]LISTA 4TO A MULTIMEDIA'!C21,"")</f>
        <v>Martinez Medina</v>
      </c>
      <c r="E23" s="39" t="str">
        <f>IFERROR('[1]LISTA 4TO A MULTIMEDIA'!M21,"")</f>
        <v>ACTIVO</v>
      </c>
      <c r="F23" s="8">
        <v>78</v>
      </c>
      <c r="G23" s="5"/>
      <c r="H23" s="5"/>
      <c r="I23" s="59"/>
      <c r="J23" s="10"/>
      <c r="K23" s="5">
        <v>80</v>
      </c>
      <c r="L23" s="5"/>
      <c r="M23" s="59"/>
      <c r="N23" s="10"/>
      <c r="O23" s="5">
        <v>78</v>
      </c>
      <c r="P23" s="5"/>
      <c r="Q23" s="59"/>
      <c r="R23" s="10"/>
      <c r="S23" s="5"/>
      <c r="T23" s="5">
        <v>90</v>
      </c>
      <c r="U23" s="59"/>
      <c r="V23" s="10"/>
      <c r="W23" s="5">
        <v>80</v>
      </c>
      <c r="X23" s="5"/>
      <c r="Y23" s="59"/>
      <c r="Z23" s="10"/>
      <c r="AA23" s="5"/>
      <c r="AB23" s="5">
        <v>88</v>
      </c>
      <c r="AC23" s="59"/>
      <c r="AD23" s="10"/>
      <c r="AE23" s="5"/>
      <c r="AF23" s="5">
        <v>92</v>
      </c>
      <c r="AG23" s="59"/>
      <c r="AH23" s="10"/>
      <c r="AI23" s="5"/>
      <c r="AJ23" s="5"/>
      <c r="AK23" s="59">
        <v>88</v>
      </c>
      <c r="AL23" s="10"/>
      <c r="AM23" s="5"/>
      <c r="AN23" s="5"/>
      <c r="AO23" s="59">
        <v>92</v>
      </c>
      <c r="AP23" s="10"/>
      <c r="AQ23" s="5"/>
      <c r="AR23" s="5"/>
      <c r="AS23" s="59"/>
      <c r="AT23" s="10">
        <v>90</v>
      </c>
      <c r="AU23" s="5">
        <v>75</v>
      </c>
      <c r="AV23" s="5">
        <v>70</v>
      </c>
      <c r="AW23" s="59">
        <v>85</v>
      </c>
      <c r="AY23" s="1">
        <f>Tabla423[[#This Row],['#]]</f>
        <v>14</v>
      </c>
      <c r="AZ23" s="13" t="str">
        <f>Tabla423[[#This Row],[Nombres]]</f>
        <v>Miguel Angel</v>
      </c>
      <c r="BA23" s="14" t="str">
        <f>Tabla423[[#This Row],[Apellidos]]</f>
        <v>Martinez Medina</v>
      </c>
      <c r="BB23" s="28" t="str">
        <f>Tabla423[[#This Row],[Codición Actual]]</f>
        <v>ACTIVO</v>
      </c>
      <c r="BC23" s="5">
        <f t="shared" si="1"/>
        <v>78</v>
      </c>
      <c r="BD23" s="5">
        <f t="shared" si="2"/>
        <v>79</v>
      </c>
      <c r="BE23" s="5">
        <f t="shared" si="3"/>
        <v>90</v>
      </c>
      <c r="BF23" s="18">
        <f t="shared" si="4"/>
        <v>90</v>
      </c>
      <c r="BG23" s="35">
        <f t="shared" si="5"/>
        <v>84</v>
      </c>
      <c r="BH23" s="30">
        <f t="shared" si="6"/>
        <v>80</v>
      </c>
      <c r="BI23" s="8" t="str">
        <f t="shared" si="7"/>
        <v/>
      </c>
      <c r="BJ23" s="63"/>
      <c r="BK23" s="5" t="str">
        <f t="shared" si="8"/>
        <v/>
      </c>
      <c r="BL23" s="18" t="str">
        <f t="shared" si="9"/>
        <v/>
      </c>
      <c r="BM23" s="10" t="str">
        <f t="shared" si="10"/>
        <v/>
      </c>
      <c r="BN23" s="63"/>
      <c r="BO23" s="5" t="str">
        <f t="shared" si="11"/>
        <v/>
      </c>
      <c r="BP23" s="18" t="str">
        <f t="shared" si="12"/>
        <v/>
      </c>
      <c r="BQ23" s="20" t="str">
        <f t="shared" si="13"/>
        <v>Aprobado</v>
      </c>
    </row>
    <row r="24" spans="2:69" ht="20.100000000000001" customHeight="1" x14ac:dyDescent="0.25">
      <c r="B24" s="49">
        <f>IFERROR('[1]LISTA 4TO A MULTIMEDIA'!A22,"")</f>
        <v>15</v>
      </c>
      <c r="C24" s="50" t="str">
        <f>IFERROR('[1]LISTA 4TO A MULTIMEDIA'!B22,"")</f>
        <v>Gabi Nataniel</v>
      </c>
      <c r="D24" s="13" t="str">
        <f>IFERROR('[1]LISTA 4TO A MULTIMEDIA'!C22,"")</f>
        <v>Martinez Medina</v>
      </c>
      <c r="E24" s="39" t="str">
        <f>IFERROR('[1]LISTA 4TO A MULTIMEDIA'!M22,"")</f>
        <v>ACTIVO</v>
      </c>
      <c r="F24" s="8">
        <v>80</v>
      </c>
      <c r="G24" s="5"/>
      <c r="H24" s="5"/>
      <c r="I24" s="58"/>
      <c r="J24" s="10"/>
      <c r="K24" s="5">
        <v>76</v>
      </c>
      <c r="L24" s="5"/>
      <c r="M24" s="58"/>
      <c r="N24" s="10"/>
      <c r="O24" s="5">
        <v>74</v>
      </c>
      <c r="P24" s="5"/>
      <c r="Q24" s="58"/>
      <c r="R24" s="10"/>
      <c r="S24" s="5"/>
      <c r="T24" s="5">
        <v>90</v>
      </c>
      <c r="U24" s="58"/>
      <c r="V24" s="10"/>
      <c r="W24" s="5">
        <v>75</v>
      </c>
      <c r="X24" s="5"/>
      <c r="Y24" s="58"/>
      <c r="Z24" s="10"/>
      <c r="AA24" s="5"/>
      <c r="AB24" s="5">
        <v>86</v>
      </c>
      <c r="AC24" s="58"/>
      <c r="AD24" s="10"/>
      <c r="AE24" s="5"/>
      <c r="AF24" s="5">
        <v>88</v>
      </c>
      <c r="AG24" s="58"/>
      <c r="AH24" s="10"/>
      <c r="AI24" s="5"/>
      <c r="AJ24" s="5"/>
      <c r="AK24" s="58">
        <v>65</v>
      </c>
      <c r="AL24" s="10"/>
      <c r="AM24" s="5"/>
      <c r="AN24" s="5"/>
      <c r="AO24" s="58">
        <v>62</v>
      </c>
      <c r="AP24" s="10"/>
      <c r="AQ24" s="5"/>
      <c r="AR24" s="5"/>
      <c r="AS24" s="58"/>
      <c r="AT24" s="10">
        <v>94</v>
      </c>
      <c r="AU24" s="5">
        <v>62</v>
      </c>
      <c r="AV24" s="5">
        <v>88</v>
      </c>
      <c r="AW24" s="58">
        <v>75</v>
      </c>
      <c r="AY24" s="1">
        <f>Tabla423[[#This Row],['#]]</f>
        <v>15</v>
      </c>
      <c r="AZ24" s="13" t="str">
        <f>Tabla423[[#This Row],[Nombres]]</f>
        <v>Gabi Nataniel</v>
      </c>
      <c r="BA24" s="14" t="str">
        <f>Tabla423[[#This Row],[Apellidos]]</f>
        <v>Martinez Medina</v>
      </c>
      <c r="BB24" s="28" t="str">
        <f>Tabla423[[#This Row],[Codición Actual]]</f>
        <v>ACTIVO</v>
      </c>
      <c r="BC24" s="5">
        <f t="shared" si="1"/>
        <v>80</v>
      </c>
      <c r="BD24" s="5">
        <f t="shared" si="2"/>
        <v>75</v>
      </c>
      <c r="BE24" s="5">
        <f t="shared" si="3"/>
        <v>88</v>
      </c>
      <c r="BF24" s="18">
        <f t="shared" si="4"/>
        <v>64</v>
      </c>
      <c r="BG24" s="35">
        <f t="shared" si="5"/>
        <v>77</v>
      </c>
      <c r="BH24" s="30">
        <f t="shared" si="6"/>
        <v>80</v>
      </c>
      <c r="BI24" s="8" t="str">
        <f t="shared" si="7"/>
        <v/>
      </c>
      <c r="BJ24" s="63"/>
      <c r="BK24" s="5" t="str">
        <f t="shared" si="8"/>
        <v/>
      </c>
      <c r="BL24" s="18" t="str">
        <f t="shared" si="9"/>
        <v/>
      </c>
      <c r="BM24" s="10" t="str">
        <f t="shared" si="10"/>
        <v/>
      </c>
      <c r="BN24" s="63"/>
      <c r="BO24" s="5" t="str">
        <f t="shared" si="11"/>
        <v/>
      </c>
      <c r="BP24" s="18" t="str">
        <f t="shared" si="12"/>
        <v/>
      </c>
      <c r="BQ24" s="20" t="str">
        <f t="shared" si="13"/>
        <v>Aprobado</v>
      </c>
    </row>
    <row r="25" spans="2:69" ht="20.100000000000001" customHeight="1" x14ac:dyDescent="0.25">
      <c r="B25" s="49">
        <f>IFERROR('[1]LISTA 4TO A MULTIMEDIA'!A23,"")</f>
        <v>16</v>
      </c>
      <c r="C25" s="50" t="str">
        <f>IFERROR('[1]LISTA 4TO A MULTIMEDIA'!B23,"")</f>
        <v>Francisco</v>
      </c>
      <c r="D25" s="13" t="str">
        <f>IFERROR('[1]LISTA 4TO A MULTIMEDIA'!C23,"")</f>
        <v>Mendez Valdez</v>
      </c>
      <c r="E25" s="39" t="str">
        <f>IFERROR('[1]LISTA 4TO A MULTIMEDIA'!M23,"")</f>
        <v>ACTIVO</v>
      </c>
      <c r="F25" s="8">
        <v>82</v>
      </c>
      <c r="G25" s="5"/>
      <c r="H25" s="5"/>
      <c r="I25" s="58"/>
      <c r="J25" s="10"/>
      <c r="K25" s="5">
        <v>85</v>
      </c>
      <c r="L25" s="5"/>
      <c r="M25" s="58"/>
      <c r="N25" s="10"/>
      <c r="O25" s="5">
        <v>84</v>
      </c>
      <c r="P25" s="5"/>
      <c r="Q25" s="58"/>
      <c r="R25" s="10"/>
      <c r="S25" s="5"/>
      <c r="T25" s="5">
        <v>88</v>
      </c>
      <c r="U25" s="58"/>
      <c r="V25" s="10"/>
      <c r="W25" s="5">
        <v>88</v>
      </c>
      <c r="X25" s="5"/>
      <c r="Y25" s="58"/>
      <c r="Z25" s="10"/>
      <c r="AA25" s="5"/>
      <c r="AB25" s="5">
        <v>92</v>
      </c>
      <c r="AC25" s="58"/>
      <c r="AD25" s="10"/>
      <c r="AE25" s="5"/>
      <c r="AF25" s="5">
        <v>90</v>
      </c>
      <c r="AG25" s="58"/>
      <c r="AH25" s="10"/>
      <c r="AI25" s="5"/>
      <c r="AJ25" s="5"/>
      <c r="AK25" s="58">
        <v>92</v>
      </c>
      <c r="AL25" s="10"/>
      <c r="AM25" s="5"/>
      <c r="AN25" s="5"/>
      <c r="AO25" s="58">
        <v>90</v>
      </c>
      <c r="AP25" s="10"/>
      <c r="AQ25" s="5"/>
      <c r="AR25" s="5"/>
      <c r="AS25" s="58"/>
      <c r="AT25" s="10">
        <v>82</v>
      </c>
      <c r="AU25" s="5">
        <v>80</v>
      </c>
      <c r="AV25" s="5">
        <v>88</v>
      </c>
      <c r="AW25" s="58">
        <v>92</v>
      </c>
      <c r="AY25" s="1">
        <f>Tabla423[[#This Row],['#]]</f>
        <v>16</v>
      </c>
      <c r="AZ25" s="13" t="str">
        <f>Tabla423[[#This Row],[Nombres]]</f>
        <v>Francisco</v>
      </c>
      <c r="BA25" s="14" t="str">
        <f>Tabla423[[#This Row],[Apellidos]]</f>
        <v>Mendez Valdez</v>
      </c>
      <c r="BB25" s="28" t="str">
        <f>Tabla423[[#This Row],[Codición Actual]]</f>
        <v>ACTIVO</v>
      </c>
      <c r="BC25" s="5">
        <f t="shared" si="1"/>
        <v>82</v>
      </c>
      <c r="BD25" s="5">
        <f t="shared" si="2"/>
        <v>86</v>
      </c>
      <c r="BE25" s="5">
        <f t="shared" si="3"/>
        <v>90</v>
      </c>
      <c r="BF25" s="18">
        <f t="shared" si="4"/>
        <v>91</v>
      </c>
      <c r="BG25" s="35">
        <f t="shared" si="5"/>
        <v>87</v>
      </c>
      <c r="BH25" s="30">
        <f t="shared" si="6"/>
        <v>86</v>
      </c>
      <c r="BI25" s="8" t="str">
        <f t="shared" si="7"/>
        <v/>
      </c>
      <c r="BJ25" s="63"/>
      <c r="BK25" s="5" t="str">
        <f t="shared" si="8"/>
        <v/>
      </c>
      <c r="BL25" s="18" t="str">
        <f t="shared" si="9"/>
        <v/>
      </c>
      <c r="BM25" s="10" t="str">
        <f t="shared" si="10"/>
        <v/>
      </c>
      <c r="BN25" s="63"/>
      <c r="BO25" s="5" t="str">
        <f t="shared" si="11"/>
        <v/>
      </c>
      <c r="BP25" s="18" t="str">
        <f t="shared" si="12"/>
        <v/>
      </c>
      <c r="BQ25" s="20" t="str">
        <f t="shared" si="13"/>
        <v>Aprobado</v>
      </c>
    </row>
    <row r="26" spans="2:69" ht="20.100000000000001" customHeight="1" x14ac:dyDescent="0.25">
      <c r="B26" s="49">
        <f>IFERROR('[1]LISTA 4TO A MULTIMEDIA'!A24,"")</f>
        <v>17</v>
      </c>
      <c r="C26" s="50" t="str">
        <f>IFERROR('[1]LISTA 4TO A MULTIMEDIA'!B24,"")</f>
        <v>Lismerlin</v>
      </c>
      <c r="D26" s="13" t="str">
        <f>IFERROR('[1]LISTA 4TO A MULTIMEDIA'!C24,"")</f>
        <v xml:space="preserve">Moreno Manzueta </v>
      </c>
      <c r="E26" s="39" t="str">
        <f>IFERROR('[1]LISTA 4TO A MULTIMEDIA'!M24,"")</f>
        <v>ACTIVO</v>
      </c>
      <c r="F26" s="8">
        <v>80</v>
      </c>
      <c r="G26" s="5"/>
      <c r="H26" s="5"/>
      <c r="I26" s="58"/>
      <c r="J26" s="10"/>
      <c r="K26" s="5"/>
      <c r="L26" s="5"/>
      <c r="M26" s="58"/>
      <c r="N26" s="10"/>
      <c r="O26" s="5"/>
      <c r="P26" s="5"/>
      <c r="Q26" s="58"/>
      <c r="R26" s="10"/>
      <c r="S26" s="5"/>
      <c r="T26" s="5">
        <v>80</v>
      </c>
      <c r="U26" s="58"/>
      <c r="V26" s="10"/>
      <c r="W26" s="5"/>
      <c r="X26" s="5"/>
      <c r="Y26" s="58"/>
      <c r="Z26" s="10"/>
      <c r="AA26" s="5"/>
      <c r="AB26" s="5">
        <v>75</v>
      </c>
      <c r="AC26" s="58"/>
      <c r="AD26" s="10"/>
      <c r="AE26" s="5"/>
      <c r="AF26" s="5">
        <v>80</v>
      </c>
      <c r="AG26" s="58"/>
      <c r="AH26" s="10"/>
      <c r="AI26" s="5"/>
      <c r="AJ26" s="5"/>
      <c r="AK26" s="58"/>
      <c r="AL26" s="10"/>
      <c r="AM26" s="5"/>
      <c r="AN26" s="5"/>
      <c r="AO26" s="58"/>
      <c r="AP26" s="10"/>
      <c r="AQ26" s="5"/>
      <c r="AR26" s="5"/>
      <c r="AS26" s="58"/>
      <c r="AT26" s="10">
        <v>72</v>
      </c>
      <c r="AU26" s="5"/>
      <c r="AV26" s="5">
        <v>81</v>
      </c>
      <c r="AW26" s="58"/>
      <c r="AY26" s="1">
        <f>Tabla423[[#This Row],['#]]</f>
        <v>17</v>
      </c>
      <c r="AZ26" s="13" t="str">
        <f>Tabla423[[#This Row],[Nombres]]</f>
        <v>Lismerlin</v>
      </c>
      <c r="BA26" s="14" t="str">
        <f>Tabla423[[#This Row],[Apellidos]]</f>
        <v xml:space="preserve">Moreno Manzueta </v>
      </c>
      <c r="BB26" s="28" t="str">
        <f>Tabla423[[#This Row],[Codición Actual]]</f>
        <v>ACTIVO</v>
      </c>
      <c r="BC26" s="5">
        <f t="shared" si="1"/>
        <v>80</v>
      </c>
      <c r="BD26" s="5" t="str">
        <f t="shared" si="2"/>
        <v/>
      </c>
      <c r="BE26" s="5">
        <f t="shared" si="3"/>
        <v>78</v>
      </c>
      <c r="BF26" s="18" t="str">
        <f t="shared" si="4"/>
        <v/>
      </c>
      <c r="BG26" s="35" t="str">
        <f t="shared" si="5"/>
        <v/>
      </c>
      <c r="BH26" s="30" t="str">
        <f t="shared" si="6"/>
        <v/>
      </c>
      <c r="BI26" s="8" t="str">
        <f t="shared" si="7"/>
        <v/>
      </c>
      <c r="BJ26" s="63"/>
      <c r="BK26" s="5" t="str">
        <f t="shared" si="8"/>
        <v/>
      </c>
      <c r="BL26" s="18" t="str">
        <f t="shared" si="9"/>
        <v/>
      </c>
      <c r="BM26" s="10" t="str">
        <f t="shared" si="10"/>
        <v/>
      </c>
      <c r="BN26" s="63"/>
      <c r="BO26" s="5" t="str">
        <f t="shared" si="11"/>
        <v/>
      </c>
      <c r="BP26" s="18" t="str">
        <f t="shared" si="12"/>
        <v/>
      </c>
      <c r="BQ26" s="20" t="str">
        <f t="shared" si="13"/>
        <v>ACTIVO</v>
      </c>
    </row>
    <row r="27" spans="2:69" s="3" customFormat="1" ht="20.100000000000001" customHeight="1" x14ac:dyDescent="0.25">
      <c r="B27" s="49">
        <f>IFERROR('[1]LISTA 4TO A MULTIMEDIA'!A25,"")</f>
        <v>18</v>
      </c>
      <c r="C27" s="50" t="str">
        <f>IFERROR('[1]LISTA 4TO A MULTIMEDIA'!B25,"")</f>
        <v xml:space="preserve">Gabriela </v>
      </c>
      <c r="D27" s="13" t="str">
        <f>IFERROR('[1]LISTA 4TO A MULTIMEDIA'!C25,"")</f>
        <v>Núñez Peña</v>
      </c>
      <c r="E27" s="39" t="str">
        <f>IFERROR('[1]LISTA 4TO A MULTIMEDIA'!M25,"")</f>
        <v>ACTIVO</v>
      </c>
      <c r="F27" s="8">
        <v>85</v>
      </c>
      <c r="G27" s="5"/>
      <c r="H27" s="5"/>
      <c r="I27" s="59"/>
      <c r="J27" s="10"/>
      <c r="K27" s="5">
        <v>90</v>
      </c>
      <c r="L27" s="5"/>
      <c r="M27" s="59"/>
      <c r="N27" s="10"/>
      <c r="O27" s="5">
        <v>92</v>
      </c>
      <c r="P27" s="5"/>
      <c r="Q27" s="59"/>
      <c r="R27" s="10"/>
      <c r="S27" s="5"/>
      <c r="T27" s="5">
        <v>90</v>
      </c>
      <c r="U27" s="59"/>
      <c r="V27" s="10"/>
      <c r="W27" s="5">
        <v>90</v>
      </c>
      <c r="X27" s="5"/>
      <c r="Y27" s="59"/>
      <c r="Z27" s="10"/>
      <c r="AA27" s="5"/>
      <c r="AB27" s="5">
        <v>92</v>
      </c>
      <c r="AC27" s="59"/>
      <c r="AD27" s="10"/>
      <c r="AE27" s="5"/>
      <c r="AF27" s="5">
        <v>92</v>
      </c>
      <c r="AG27" s="59"/>
      <c r="AH27" s="10"/>
      <c r="AI27" s="5"/>
      <c r="AJ27" s="5"/>
      <c r="AK27" s="59">
        <v>95</v>
      </c>
      <c r="AL27" s="10"/>
      <c r="AM27" s="5"/>
      <c r="AN27" s="5"/>
      <c r="AO27" s="59">
        <v>94</v>
      </c>
      <c r="AP27" s="10"/>
      <c r="AQ27" s="5"/>
      <c r="AR27" s="5"/>
      <c r="AS27" s="59"/>
      <c r="AT27" s="10">
        <v>96</v>
      </c>
      <c r="AU27" s="5">
        <v>90</v>
      </c>
      <c r="AV27" s="5">
        <v>94</v>
      </c>
      <c r="AW27" s="59">
        <v>96</v>
      </c>
      <c r="AY27" s="1">
        <f>Tabla423[[#This Row],['#]]</f>
        <v>18</v>
      </c>
      <c r="AZ27" s="13" t="str">
        <f>Tabla423[[#This Row],[Nombres]]</f>
        <v xml:space="preserve">Gabriela </v>
      </c>
      <c r="BA27" s="14" t="str">
        <f>Tabla423[[#This Row],[Apellidos]]</f>
        <v>Núñez Peña</v>
      </c>
      <c r="BB27" s="28" t="str">
        <f>Tabla423[[#This Row],[Codición Actual]]</f>
        <v>ACTIVO</v>
      </c>
      <c r="BC27" s="5">
        <f t="shared" si="1"/>
        <v>85</v>
      </c>
      <c r="BD27" s="5">
        <f t="shared" si="2"/>
        <v>91</v>
      </c>
      <c r="BE27" s="5">
        <f t="shared" si="3"/>
        <v>91</v>
      </c>
      <c r="BF27" s="18">
        <f t="shared" si="4"/>
        <v>95</v>
      </c>
      <c r="BG27" s="35">
        <f t="shared" si="5"/>
        <v>91</v>
      </c>
      <c r="BH27" s="30">
        <f t="shared" si="6"/>
        <v>94</v>
      </c>
      <c r="BI27" s="8" t="str">
        <f t="shared" si="7"/>
        <v/>
      </c>
      <c r="BJ27" s="63"/>
      <c r="BK27" s="5" t="str">
        <f t="shared" si="8"/>
        <v/>
      </c>
      <c r="BL27" s="18" t="str">
        <f t="shared" si="9"/>
        <v/>
      </c>
      <c r="BM27" s="10" t="str">
        <f t="shared" si="10"/>
        <v/>
      </c>
      <c r="BN27" s="63"/>
      <c r="BO27" s="5" t="str">
        <f t="shared" si="11"/>
        <v/>
      </c>
      <c r="BP27" s="18" t="str">
        <f t="shared" si="12"/>
        <v/>
      </c>
      <c r="BQ27" s="20" t="str">
        <f t="shared" si="13"/>
        <v>Aprobado</v>
      </c>
    </row>
    <row r="28" spans="2:69" ht="20.100000000000001" customHeight="1" x14ac:dyDescent="0.25">
      <c r="B28" s="49">
        <f>IFERROR('[1]LISTA 4TO A MULTIMEDIA'!A26,"")</f>
        <v>19</v>
      </c>
      <c r="C28" s="50" t="str">
        <f>IFERROR('[1]LISTA 4TO A MULTIMEDIA'!B26,"")</f>
        <v xml:space="preserve">Jose Junior </v>
      </c>
      <c r="D28" s="13" t="str">
        <f>IFERROR('[1]LISTA 4TO A MULTIMEDIA'!C26,"")</f>
        <v>Perez</v>
      </c>
      <c r="E28" s="39" t="str">
        <f>IFERROR('[1]LISTA 4TO A MULTIMEDIA'!M26,"")</f>
        <v>ACTIVO</v>
      </c>
      <c r="F28" s="8">
        <v>80</v>
      </c>
      <c r="G28" s="5"/>
      <c r="H28" s="5"/>
      <c r="I28" s="58"/>
      <c r="J28" s="10"/>
      <c r="K28" s="5">
        <v>80</v>
      </c>
      <c r="L28" s="5"/>
      <c r="M28" s="58"/>
      <c r="N28" s="10"/>
      <c r="O28" s="5">
        <v>80</v>
      </c>
      <c r="P28" s="5"/>
      <c r="Q28" s="58"/>
      <c r="R28" s="10"/>
      <c r="S28" s="5"/>
      <c r="T28" s="5">
        <v>92</v>
      </c>
      <c r="U28" s="58"/>
      <c r="V28" s="10"/>
      <c r="W28" s="5">
        <v>82</v>
      </c>
      <c r="X28" s="5"/>
      <c r="Y28" s="58"/>
      <c r="Z28" s="10"/>
      <c r="AA28" s="5"/>
      <c r="AB28" s="5">
        <v>92</v>
      </c>
      <c r="AC28" s="58"/>
      <c r="AD28" s="10"/>
      <c r="AE28" s="5"/>
      <c r="AF28" s="5">
        <v>92</v>
      </c>
      <c r="AG28" s="58"/>
      <c r="AH28" s="10"/>
      <c r="AI28" s="5"/>
      <c r="AJ28" s="5"/>
      <c r="AK28" s="58">
        <v>90</v>
      </c>
      <c r="AL28" s="10"/>
      <c r="AM28" s="5"/>
      <c r="AN28" s="5"/>
      <c r="AO28" s="58">
        <v>92</v>
      </c>
      <c r="AP28" s="10"/>
      <c r="AQ28" s="5"/>
      <c r="AR28" s="5"/>
      <c r="AS28" s="58"/>
      <c r="AT28" s="10">
        <v>96</v>
      </c>
      <c r="AU28" s="5">
        <v>88</v>
      </c>
      <c r="AV28" s="5">
        <v>81</v>
      </c>
      <c r="AW28" s="58">
        <v>96</v>
      </c>
      <c r="AY28" s="1">
        <f>Tabla423[[#This Row],['#]]</f>
        <v>19</v>
      </c>
      <c r="AZ28" s="13" t="str">
        <f>Tabla423[[#This Row],[Nombres]]</f>
        <v xml:space="preserve">Jose Junior </v>
      </c>
      <c r="BA28" s="14" t="str">
        <f>Tabla423[[#This Row],[Apellidos]]</f>
        <v>Perez</v>
      </c>
      <c r="BB28" s="28" t="str">
        <f>Tabla423[[#This Row],[Codición Actual]]</f>
        <v>ACTIVO</v>
      </c>
      <c r="BC28" s="5">
        <f t="shared" si="1"/>
        <v>80</v>
      </c>
      <c r="BD28" s="5">
        <f t="shared" si="2"/>
        <v>81</v>
      </c>
      <c r="BE28" s="5">
        <f t="shared" si="3"/>
        <v>92</v>
      </c>
      <c r="BF28" s="18">
        <f t="shared" si="4"/>
        <v>91</v>
      </c>
      <c r="BG28" s="35">
        <f t="shared" si="5"/>
        <v>86</v>
      </c>
      <c r="BH28" s="30">
        <f t="shared" si="6"/>
        <v>90</v>
      </c>
      <c r="BI28" s="8" t="str">
        <f t="shared" si="7"/>
        <v/>
      </c>
      <c r="BJ28" s="63"/>
      <c r="BK28" s="5" t="str">
        <f t="shared" si="8"/>
        <v/>
      </c>
      <c r="BL28" s="18" t="str">
        <f t="shared" si="9"/>
        <v/>
      </c>
      <c r="BM28" s="10" t="str">
        <f t="shared" si="10"/>
        <v/>
      </c>
      <c r="BN28" s="63"/>
      <c r="BO28" s="5" t="str">
        <f t="shared" si="11"/>
        <v/>
      </c>
      <c r="BP28" s="18" t="str">
        <f t="shared" si="12"/>
        <v/>
      </c>
      <c r="BQ28" s="20" t="str">
        <f t="shared" si="13"/>
        <v>Aprobado</v>
      </c>
    </row>
    <row r="29" spans="2:69" s="6" customFormat="1" ht="20.100000000000001" customHeight="1" x14ac:dyDescent="0.25">
      <c r="B29" s="49">
        <f>IFERROR('[1]LISTA 4TO A MULTIMEDIA'!A27,"")</f>
        <v>20</v>
      </c>
      <c r="C29" s="50" t="str">
        <f>IFERROR('[1]LISTA 4TO A MULTIMEDIA'!B27,"")</f>
        <v>Yadiel Alberto</v>
      </c>
      <c r="D29" s="13" t="str">
        <f>IFERROR('[1]LISTA 4TO A MULTIMEDIA'!C27,"")</f>
        <v>Pimentel Feliz</v>
      </c>
      <c r="E29" s="39" t="str">
        <f>IFERROR('[1]LISTA 4TO A MULTIMEDIA'!M27,"")</f>
        <v>ACTIVO</v>
      </c>
      <c r="F29" s="8">
        <v>80</v>
      </c>
      <c r="G29" s="5"/>
      <c r="H29" s="5"/>
      <c r="I29" s="58"/>
      <c r="J29" s="10"/>
      <c r="K29" s="5">
        <v>76</v>
      </c>
      <c r="L29" s="5"/>
      <c r="M29" s="58"/>
      <c r="N29" s="10"/>
      <c r="O29" s="5">
        <v>82</v>
      </c>
      <c r="P29" s="5"/>
      <c r="Q29" s="58"/>
      <c r="R29" s="10"/>
      <c r="S29" s="5"/>
      <c r="T29" s="5">
        <v>90</v>
      </c>
      <c r="U29" s="58"/>
      <c r="V29" s="10"/>
      <c r="W29" s="5">
        <v>80</v>
      </c>
      <c r="X29" s="5"/>
      <c r="Y29" s="58"/>
      <c r="Z29" s="10"/>
      <c r="AA29" s="5"/>
      <c r="AB29" s="5">
        <v>88</v>
      </c>
      <c r="AC29" s="58"/>
      <c r="AD29" s="10"/>
      <c r="AE29" s="5"/>
      <c r="AF29" s="5">
        <v>92</v>
      </c>
      <c r="AG29" s="58"/>
      <c r="AH29" s="10"/>
      <c r="AI29" s="5"/>
      <c r="AJ29" s="5"/>
      <c r="AK29" s="58">
        <v>78</v>
      </c>
      <c r="AL29" s="10"/>
      <c r="AM29" s="5"/>
      <c r="AN29" s="5"/>
      <c r="AO29" s="58">
        <v>80</v>
      </c>
      <c r="AP29" s="10"/>
      <c r="AQ29" s="5"/>
      <c r="AR29" s="5"/>
      <c r="AS29" s="58"/>
      <c r="AT29" s="10">
        <v>89</v>
      </c>
      <c r="AU29" s="5">
        <v>75</v>
      </c>
      <c r="AV29" s="5">
        <v>87</v>
      </c>
      <c r="AW29" s="58">
        <v>92</v>
      </c>
      <c r="AY29" s="1">
        <f>Tabla423[[#This Row],['#]]</f>
        <v>20</v>
      </c>
      <c r="AZ29" s="13" t="str">
        <f>Tabla423[[#This Row],[Nombres]]</f>
        <v>Yadiel Alberto</v>
      </c>
      <c r="BA29" s="14" t="str">
        <f>Tabla423[[#This Row],[Apellidos]]</f>
        <v>Pimentel Feliz</v>
      </c>
      <c r="BB29" s="28" t="str">
        <f>Tabla423[[#This Row],[Codición Actual]]</f>
        <v>ACTIVO</v>
      </c>
      <c r="BC29" s="5">
        <f t="shared" si="1"/>
        <v>80</v>
      </c>
      <c r="BD29" s="5">
        <f t="shared" si="2"/>
        <v>79</v>
      </c>
      <c r="BE29" s="5">
        <f t="shared" si="3"/>
        <v>90</v>
      </c>
      <c r="BF29" s="18">
        <f t="shared" si="4"/>
        <v>79</v>
      </c>
      <c r="BG29" s="35">
        <f t="shared" si="5"/>
        <v>82</v>
      </c>
      <c r="BH29" s="30">
        <f t="shared" si="6"/>
        <v>86</v>
      </c>
      <c r="BI29" s="8" t="str">
        <f t="shared" si="7"/>
        <v/>
      </c>
      <c r="BJ29" s="63"/>
      <c r="BK29" s="5" t="str">
        <f t="shared" si="8"/>
        <v/>
      </c>
      <c r="BL29" s="18" t="str">
        <f t="shared" si="9"/>
        <v/>
      </c>
      <c r="BM29" s="10" t="str">
        <f t="shared" si="10"/>
        <v/>
      </c>
      <c r="BN29" s="63"/>
      <c r="BO29" s="5" t="str">
        <f t="shared" si="11"/>
        <v/>
      </c>
      <c r="BP29" s="18" t="str">
        <f t="shared" si="12"/>
        <v/>
      </c>
      <c r="BQ29" s="20" t="str">
        <f t="shared" si="13"/>
        <v>Aprobado</v>
      </c>
    </row>
    <row r="30" spans="2:69" s="7" customFormat="1" ht="20.100000000000001" customHeight="1" x14ac:dyDescent="0.25">
      <c r="B30" s="49">
        <f>IFERROR('[1]LISTA 4TO A MULTIMEDIA'!A28,"")</f>
        <v>21</v>
      </c>
      <c r="C30" s="50" t="str">
        <f>IFERROR('[1]LISTA 4TO A MULTIMEDIA'!B28,"")</f>
        <v xml:space="preserve">Diana </v>
      </c>
      <c r="D30" s="13" t="str">
        <f>IFERROR('[1]LISTA 4TO A MULTIMEDIA'!C28,"")</f>
        <v>Ramirez De La Cruz</v>
      </c>
      <c r="E30" s="39" t="str">
        <f>IFERROR('[1]LISTA 4TO A MULTIMEDIA'!M28,"")</f>
        <v>ACTIVO</v>
      </c>
      <c r="F30" s="8">
        <v>85</v>
      </c>
      <c r="G30" s="5"/>
      <c r="H30" s="5"/>
      <c r="I30" s="58"/>
      <c r="J30" s="10"/>
      <c r="K30" s="5">
        <v>92</v>
      </c>
      <c r="L30" s="5"/>
      <c r="M30" s="58"/>
      <c r="N30" s="10"/>
      <c r="O30" s="5">
        <v>94</v>
      </c>
      <c r="P30" s="5"/>
      <c r="Q30" s="58"/>
      <c r="R30" s="10"/>
      <c r="S30" s="5"/>
      <c r="T30" s="5">
        <v>92</v>
      </c>
      <c r="U30" s="58"/>
      <c r="V30" s="10"/>
      <c r="W30" s="5">
        <v>94</v>
      </c>
      <c r="X30" s="5"/>
      <c r="Y30" s="58"/>
      <c r="Z30" s="10"/>
      <c r="AA30" s="5"/>
      <c r="AB30" s="5">
        <v>96</v>
      </c>
      <c r="AC30" s="58"/>
      <c r="AD30" s="10"/>
      <c r="AE30" s="5"/>
      <c r="AF30" s="5">
        <v>96</v>
      </c>
      <c r="AG30" s="58"/>
      <c r="AH30" s="10"/>
      <c r="AI30" s="5"/>
      <c r="AJ30" s="5"/>
      <c r="AK30" s="58">
        <v>96</v>
      </c>
      <c r="AL30" s="10"/>
      <c r="AM30" s="5"/>
      <c r="AN30" s="5"/>
      <c r="AO30" s="58">
        <v>96</v>
      </c>
      <c r="AP30" s="10"/>
      <c r="AQ30" s="5"/>
      <c r="AR30" s="5"/>
      <c r="AS30" s="58"/>
      <c r="AT30" s="10">
        <v>94</v>
      </c>
      <c r="AU30" s="5">
        <v>97</v>
      </c>
      <c r="AV30" s="5">
        <v>71</v>
      </c>
      <c r="AW30" s="58">
        <v>94</v>
      </c>
      <c r="AY30" s="1">
        <f>Tabla423[[#This Row],['#]]</f>
        <v>21</v>
      </c>
      <c r="AZ30" s="13" t="str">
        <f>Tabla423[[#This Row],[Nombres]]</f>
        <v xml:space="preserve">Diana </v>
      </c>
      <c r="BA30" s="14" t="str">
        <f>Tabla423[[#This Row],[Apellidos]]</f>
        <v>Ramirez De La Cruz</v>
      </c>
      <c r="BB30" s="28" t="str">
        <f>Tabla423[[#This Row],[Codición Actual]]</f>
        <v>ACTIVO</v>
      </c>
      <c r="BC30" s="5">
        <f t="shared" si="1"/>
        <v>85</v>
      </c>
      <c r="BD30" s="5">
        <f t="shared" si="2"/>
        <v>93</v>
      </c>
      <c r="BE30" s="5">
        <f t="shared" si="3"/>
        <v>95</v>
      </c>
      <c r="BF30" s="18">
        <f t="shared" si="4"/>
        <v>96</v>
      </c>
      <c r="BG30" s="35">
        <f t="shared" si="5"/>
        <v>92</v>
      </c>
      <c r="BH30" s="30">
        <f t="shared" si="6"/>
        <v>89</v>
      </c>
      <c r="BI30" s="8" t="str">
        <f t="shared" si="7"/>
        <v/>
      </c>
      <c r="BJ30" s="63"/>
      <c r="BK30" s="5" t="str">
        <f t="shared" si="8"/>
        <v/>
      </c>
      <c r="BL30" s="18" t="str">
        <f t="shared" si="9"/>
        <v/>
      </c>
      <c r="BM30" s="10" t="str">
        <f t="shared" si="10"/>
        <v/>
      </c>
      <c r="BN30" s="63"/>
      <c r="BO30" s="5" t="str">
        <f t="shared" si="11"/>
        <v/>
      </c>
      <c r="BP30" s="18" t="str">
        <f t="shared" si="12"/>
        <v/>
      </c>
      <c r="BQ30" s="20" t="str">
        <f t="shared" si="13"/>
        <v>Aprobado</v>
      </c>
    </row>
    <row r="31" spans="2:69" ht="20.100000000000001" customHeight="1" x14ac:dyDescent="0.25">
      <c r="B31" s="49">
        <f>IFERROR('[1]LISTA 4TO A MULTIMEDIA'!A29,"")</f>
        <v>22</v>
      </c>
      <c r="C31" s="50" t="str">
        <f>IFERROR('[1]LISTA 4TO A MULTIMEDIA'!B29,"")</f>
        <v>Yamilka</v>
      </c>
      <c r="D31" s="13" t="str">
        <f>IFERROR('[1]LISTA 4TO A MULTIMEDIA'!C29,"")</f>
        <v xml:space="preserve">Ramirez Sanchez </v>
      </c>
      <c r="E31" s="39" t="str">
        <f>IFERROR('[1]LISTA 4TO A MULTIMEDIA'!M29,"")</f>
        <v>ACTIVO</v>
      </c>
      <c r="F31" s="8">
        <v>80</v>
      </c>
      <c r="G31" s="5"/>
      <c r="H31" s="5"/>
      <c r="I31" s="58"/>
      <c r="J31" s="10"/>
      <c r="K31" s="5">
        <v>75</v>
      </c>
      <c r="L31" s="5"/>
      <c r="M31" s="58"/>
      <c r="N31" s="10"/>
      <c r="O31" s="5">
        <v>70</v>
      </c>
      <c r="P31" s="5"/>
      <c r="Q31" s="58"/>
      <c r="R31" s="10"/>
      <c r="S31" s="5"/>
      <c r="T31" s="5">
        <v>84</v>
      </c>
      <c r="U31" s="58"/>
      <c r="V31" s="10"/>
      <c r="W31" s="5">
        <v>74</v>
      </c>
      <c r="X31" s="5"/>
      <c r="Y31" s="58"/>
      <c r="Z31" s="10"/>
      <c r="AA31" s="5"/>
      <c r="AB31" s="5">
        <v>88</v>
      </c>
      <c r="AC31" s="58"/>
      <c r="AD31" s="10"/>
      <c r="AE31" s="5"/>
      <c r="AF31" s="5">
        <v>86</v>
      </c>
      <c r="AG31" s="58"/>
      <c r="AH31" s="10"/>
      <c r="AI31" s="5"/>
      <c r="AJ31" s="5"/>
      <c r="AK31" s="58">
        <v>65</v>
      </c>
      <c r="AL31" s="10"/>
      <c r="AM31" s="5"/>
      <c r="AN31" s="5"/>
      <c r="AO31" s="58">
        <v>70</v>
      </c>
      <c r="AP31" s="10"/>
      <c r="AQ31" s="5"/>
      <c r="AR31" s="5"/>
      <c r="AS31" s="58"/>
      <c r="AT31" s="10">
        <v>94</v>
      </c>
      <c r="AU31" s="5">
        <v>81</v>
      </c>
      <c r="AV31" s="5">
        <v>81</v>
      </c>
      <c r="AW31" s="58">
        <v>84</v>
      </c>
      <c r="AY31" s="1">
        <f>Tabla423[[#This Row],['#]]</f>
        <v>22</v>
      </c>
      <c r="AZ31" s="13" t="str">
        <f>Tabla423[[#This Row],[Nombres]]</f>
        <v>Yamilka</v>
      </c>
      <c r="BA31" s="14" t="str">
        <f>Tabla423[[#This Row],[Apellidos]]</f>
        <v xml:space="preserve">Ramirez Sanchez </v>
      </c>
      <c r="BB31" s="28" t="str">
        <f>Tabla423[[#This Row],[Codición Actual]]</f>
        <v>ACTIVO</v>
      </c>
      <c r="BC31" s="5">
        <f t="shared" si="1"/>
        <v>80</v>
      </c>
      <c r="BD31" s="5">
        <f t="shared" si="2"/>
        <v>73</v>
      </c>
      <c r="BE31" s="5">
        <f t="shared" si="3"/>
        <v>86</v>
      </c>
      <c r="BF31" s="18">
        <f t="shared" si="4"/>
        <v>68</v>
      </c>
      <c r="BG31" s="35">
        <f t="shared" si="5"/>
        <v>77</v>
      </c>
      <c r="BH31" s="30">
        <f t="shared" si="6"/>
        <v>85</v>
      </c>
      <c r="BI31" s="8" t="str">
        <f t="shared" si="7"/>
        <v/>
      </c>
      <c r="BJ31" s="63"/>
      <c r="BK31" s="5" t="str">
        <f t="shared" si="8"/>
        <v/>
      </c>
      <c r="BL31" s="18" t="str">
        <f t="shared" si="9"/>
        <v/>
      </c>
      <c r="BM31" s="10" t="str">
        <f t="shared" si="10"/>
        <v/>
      </c>
      <c r="BN31" s="63"/>
      <c r="BO31" s="5" t="str">
        <f t="shared" si="11"/>
        <v/>
      </c>
      <c r="BP31" s="18" t="str">
        <f t="shared" si="12"/>
        <v/>
      </c>
      <c r="BQ31" s="20" t="str">
        <f t="shared" si="13"/>
        <v>Aprobado</v>
      </c>
    </row>
    <row r="32" spans="2:69" ht="20.100000000000001" customHeight="1" x14ac:dyDescent="0.25">
      <c r="B32" s="49">
        <f>IFERROR('[1]LISTA 4TO A MULTIMEDIA'!A30,"")</f>
        <v>23</v>
      </c>
      <c r="C32" s="50" t="str">
        <f>IFERROR('[1]LISTA 4TO A MULTIMEDIA'!B30,"")</f>
        <v xml:space="preserve">Jesus Enmanuel </v>
      </c>
      <c r="D32" s="13" t="str">
        <f>IFERROR('[1]LISTA 4TO A MULTIMEDIA'!C30,"")</f>
        <v>Reynoso</v>
      </c>
      <c r="E32" s="39" t="str">
        <f>IFERROR('[1]LISTA 4TO A MULTIMEDIA'!M30,"")</f>
        <v>ACTIVO</v>
      </c>
      <c r="F32" s="8">
        <v>82</v>
      </c>
      <c r="G32" s="5"/>
      <c r="H32" s="5"/>
      <c r="I32" s="58"/>
      <c r="J32" s="10"/>
      <c r="K32" s="5">
        <v>74</v>
      </c>
      <c r="L32" s="5"/>
      <c r="M32" s="58"/>
      <c r="N32" s="10"/>
      <c r="O32" s="5">
        <v>74</v>
      </c>
      <c r="P32" s="5"/>
      <c r="Q32" s="58"/>
      <c r="R32" s="10"/>
      <c r="S32" s="5"/>
      <c r="T32" s="5">
        <v>88</v>
      </c>
      <c r="U32" s="58"/>
      <c r="V32" s="10"/>
      <c r="W32" s="5">
        <v>70</v>
      </c>
      <c r="X32" s="5"/>
      <c r="Y32" s="58"/>
      <c r="Z32" s="10"/>
      <c r="AA32" s="5"/>
      <c r="AB32" s="5">
        <v>86</v>
      </c>
      <c r="AC32" s="58"/>
      <c r="AD32" s="10"/>
      <c r="AE32" s="5"/>
      <c r="AF32" s="5">
        <v>90</v>
      </c>
      <c r="AG32" s="58"/>
      <c r="AH32" s="10"/>
      <c r="AI32" s="5"/>
      <c r="AJ32" s="5"/>
      <c r="AK32" s="58">
        <v>80</v>
      </c>
      <c r="AL32" s="10"/>
      <c r="AM32" s="5"/>
      <c r="AN32" s="5"/>
      <c r="AO32" s="58">
        <v>82</v>
      </c>
      <c r="AP32" s="10"/>
      <c r="AQ32" s="5"/>
      <c r="AR32" s="5"/>
      <c r="AS32" s="58"/>
      <c r="AT32" s="10">
        <v>90</v>
      </c>
      <c r="AU32" s="5">
        <v>70</v>
      </c>
      <c r="AV32" s="5">
        <v>75</v>
      </c>
      <c r="AW32" s="58">
        <v>84</v>
      </c>
      <c r="AY32" s="1">
        <f>Tabla423[[#This Row],['#]]</f>
        <v>23</v>
      </c>
      <c r="AZ32" s="13" t="str">
        <f>Tabla423[[#This Row],[Nombres]]</f>
        <v xml:space="preserve">Jesus Enmanuel </v>
      </c>
      <c r="BA32" s="14" t="str">
        <f>Tabla423[[#This Row],[Apellidos]]</f>
        <v>Reynoso</v>
      </c>
      <c r="BB32" s="28" t="str">
        <f>Tabla423[[#This Row],[Codición Actual]]</f>
        <v>ACTIVO</v>
      </c>
      <c r="BC32" s="5">
        <f t="shared" si="1"/>
        <v>82</v>
      </c>
      <c r="BD32" s="5">
        <f t="shared" si="2"/>
        <v>73</v>
      </c>
      <c r="BE32" s="5">
        <f t="shared" si="3"/>
        <v>88</v>
      </c>
      <c r="BF32" s="18">
        <f t="shared" si="4"/>
        <v>81</v>
      </c>
      <c r="BG32" s="35">
        <f t="shared" si="5"/>
        <v>81</v>
      </c>
      <c r="BH32" s="30">
        <f t="shared" si="6"/>
        <v>80</v>
      </c>
      <c r="BI32" s="8" t="str">
        <f t="shared" si="7"/>
        <v/>
      </c>
      <c r="BJ32" s="63"/>
      <c r="BK32" s="5" t="str">
        <f t="shared" si="8"/>
        <v/>
      </c>
      <c r="BL32" s="18" t="str">
        <f t="shared" si="9"/>
        <v/>
      </c>
      <c r="BM32" s="10" t="str">
        <f t="shared" si="10"/>
        <v/>
      </c>
      <c r="BN32" s="63"/>
      <c r="BO32" s="5" t="str">
        <f t="shared" si="11"/>
        <v/>
      </c>
      <c r="BP32" s="18" t="str">
        <f t="shared" si="12"/>
        <v/>
      </c>
      <c r="BQ32" s="20" t="str">
        <f t="shared" si="13"/>
        <v>Aprobado</v>
      </c>
    </row>
    <row r="33" spans="2:69" ht="20.100000000000001" customHeight="1" x14ac:dyDescent="0.25">
      <c r="B33" s="49">
        <f>IFERROR('[1]LISTA 4TO A MULTIMEDIA'!A31,"")</f>
        <v>24</v>
      </c>
      <c r="C33" s="50" t="str">
        <f>IFERROR('[1]LISTA 4TO A MULTIMEDIA'!B31,"")</f>
        <v xml:space="preserve">Densel Eduardo </v>
      </c>
      <c r="D33" s="13" t="str">
        <f>IFERROR('[1]LISTA 4TO A MULTIMEDIA'!C31,"")</f>
        <v>Rodriguez Perez</v>
      </c>
      <c r="E33" s="39" t="str">
        <f>IFERROR('[1]LISTA 4TO A MULTIMEDIA'!M31,"")</f>
        <v>ACTIVO</v>
      </c>
      <c r="F33" s="8">
        <v>94</v>
      </c>
      <c r="G33" s="5"/>
      <c r="H33" s="5"/>
      <c r="I33" s="58"/>
      <c r="J33" s="10"/>
      <c r="K33" s="5">
        <v>98</v>
      </c>
      <c r="L33" s="5"/>
      <c r="M33" s="58"/>
      <c r="N33" s="10"/>
      <c r="O33" s="5">
        <v>98</v>
      </c>
      <c r="P33" s="5"/>
      <c r="Q33" s="58"/>
      <c r="R33" s="10"/>
      <c r="S33" s="5"/>
      <c r="T33" s="5">
        <v>96</v>
      </c>
      <c r="U33" s="58"/>
      <c r="V33" s="10"/>
      <c r="W33" s="5">
        <v>98</v>
      </c>
      <c r="X33" s="5"/>
      <c r="Y33" s="58"/>
      <c r="Z33" s="10"/>
      <c r="AA33" s="5"/>
      <c r="AB33" s="5">
        <v>96</v>
      </c>
      <c r="AC33" s="58"/>
      <c r="AD33" s="10"/>
      <c r="AE33" s="5"/>
      <c r="AF33" s="5">
        <v>92</v>
      </c>
      <c r="AG33" s="58"/>
      <c r="AH33" s="10"/>
      <c r="AI33" s="5"/>
      <c r="AJ33" s="5"/>
      <c r="AK33" s="58">
        <v>96</v>
      </c>
      <c r="AL33" s="10"/>
      <c r="AM33" s="5"/>
      <c r="AN33" s="5"/>
      <c r="AO33" s="58">
        <v>96</v>
      </c>
      <c r="AP33" s="10"/>
      <c r="AQ33" s="5"/>
      <c r="AR33" s="5"/>
      <c r="AS33" s="58"/>
      <c r="AT33" s="10">
        <v>94</v>
      </c>
      <c r="AU33" s="5">
        <v>90</v>
      </c>
      <c r="AV33" s="5">
        <v>92</v>
      </c>
      <c r="AW33" s="58">
        <v>98</v>
      </c>
      <c r="AY33" s="1">
        <f>Tabla423[[#This Row],['#]]</f>
        <v>24</v>
      </c>
      <c r="AZ33" s="13" t="str">
        <f>Tabla423[[#This Row],[Nombres]]</f>
        <v xml:space="preserve">Densel Eduardo </v>
      </c>
      <c r="BA33" s="14" t="str">
        <f>Tabla423[[#This Row],[Apellidos]]</f>
        <v>Rodriguez Perez</v>
      </c>
      <c r="BB33" s="28" t="str">
        <f>Tabla423[[#This Row],[Codición Actual]]</f>
        <v>ACTIVO</v>
      </c>
      <c r="BC33" s="5">
        <f t="shared" si="1"/>
        <v>94</v>
      </c>
      <c r="BD33" s="5">
        <f t="shared" si="2"/>
        <v>98</v>
      </c>
      <c r="BE33" s="5">
        <f t="shared" si="3"/>
        <v>95</v>
      </c>
      <c r="BF33" s="18">
        <f t="shared" si="4"/>
        <v>96</v>
      </c>
      <c r="BG33" s="35">
        <f t="shared" si="5"/>
        <v>96</v>
      </c>
      <c r="BH33" s="30">
        <f t="shared" si="6"/>
        <v>94</v>
      </c>
      <c r="BI33" s="8" t="str">
        <f t="shared" si="7"/>
        <v/>
      </c>
      <c r="BJ33" s="63"/>
      <c r="BK33" s="5" t="str">
        <f t="shared" si="8"/>
        <v/>
      </c>
      <c r="BL33" s="18" t="str">
        <f t="shared" si="9"/>
        <v/>
      </c>
      <c r="BM33" s="10" t="str">
        <f t="shared" si="10"/>
        <v/>
      </c>
      <c r="BN33" s="63"/>
      <c r="BO33" s="5" t="str">
        <f t="shared" si="11"/>
        <v/>
      </c>
      <c r="BP33" s="18" t="str">
        <f t="shared" si="12"/>
        <v/>
      </c>
      <c r="BQ33" s="20" t="str">
        <f t="shared" si="13"/>
        <v>Aprobado</v>
      </c>
    </row>
    <row r="34" spans="2:69" s="6" customFormat="1" ht="20.100000000000001" customHeight="1" x14ac:dyDescent="0.25">
      <c r="B34" s="49">
        <f>IFERROR('[1]LISTA 4TO A MULTIMEDIA'!A32,"")</f>
        <v>25</v>
      </c>
      <c r="C34" s="50" t="str">
        <f>IFERROR('[1]LISTA 4TO A MULTIMEDIA'!B32,"")</f>
        <v xml:space="preserve">Angel Luis </v>
      </c>
      <c r="D34" s="13" t="str">
        <f>IFERROR('[1]LISTA 4TO A MULTIMEDIA'!C32,"")</f>
        <v>Shepharh Manzueta</v>
      </c>
      <c r="E34" s="39" t="str">
        <f>IFERROR('[1]LISTA 4TO A MULTIMEDIA'!M32,"")</f>
        <v>ACTIVO</v>
      </c>
      <c r="F34" s="8">
        <v>75</v>
      </c>
      <c r="G34" s="5"/>
      <c r="H34" s="5"/>
      <c r="I34" s="58"/>
      <c r="J34" s="10"/>
      <c r="K34" s="5">
        <v>80</v>
      </c>
      <c r="L34" s="5"/>
      <c r="M34" s="58"/>
      <c r="N34" s="10"/>
      <c r="O34" s="5">
        <v>82</v>
      </c>
      <c r="P34" s="5"/>
      <c r="Q34" s="58"/>
      <c r="R34" s="10"/>
      <c r="S34" s="5"/>
      <c r="T34" s="5">
        <v>86</v>
      </c>
      <c r="U34" s="58"/>
      <c r="V34" s="10"/>
      <c r="W34" s="5">
        <v>80</v>
      </c>
      <c r="X34" s="5"/>
      <c r="Y34" s="58"/>
      <c r="Z34" s="10"/>
      <c r="AA34" s="5"/>
      <c r="AB34" s="5">
        <v>92</v>
      </c>
      <c r="AC34" s="58"/>
      <c r="AD34" s="10"/>
      <c r="AE34" s="5"/>
      <c r="AF34" s="5">
        <v>92</v>
      </c>
      <c r="AG34" s="58"/>
      <c r="AH34" s="10"/>
      <c r="AI34" s="5"/>
      <c r="AJ34" s="5"/>
      <c r="AK34" s="58">
        <v>82</v>
      </c>
      <c r="AL34" s="10"/>
      <c r="AM34" s="5"/>
      <c r="AN34" s="5"/>
      <c r="AO34" s="58">
        <v>84</v>
      </c>
      <c r="AP34" s="10"/>
      <c r="AQ34" s="5"/>
      <c r="AR34" s="5"/>
      <c r="AS34" s="58"/>
      <c r="AT34" s="10">
        <v>92</v>
      </c>
      <c r="AU34" s="5">
        <v>100</v>
      </c>
      <c r="AV34" s="5">
        <v>100</v>
      </c>
      <c r="AW34" s="58">
        <v>100</v>
      </c>
      <c r="AY34" s="1">
        <f>Tabla423[[#This Row],['#]]</f>
        <v>25</v>
      </c>
      <c r="AZ34" s="13" t="str">
        <f>Tabla423[[#This Row],[Nombres]]</f>
        <v xml:space="preserve">Angel Luis </v>
      </c>
      <c r="BA34" s="14" t="str">
        <f>Tabla423[[#This Row],[Apellidos]]</f>
        <v>Shepharh Manzueta</v>
      </c>
      <c r="BB34" s="28" t="str">
        <f>Tabla423[[#This Row],[Codición Actual]]</f>
        <v>ACTIVO</v>
      </c>
      <c r="BC34" s="5">
        <f t="shared" si="1"/>
        <v>75</v>
      </c>
      <c r="BD34" s="5">
        <f t="shared" si="2"/>
        <v>81</v>
      </c>
      <c r="BE34" s="5">
        <f t="shared" si="3"/>
        <v>90</v>
      </c>
      <c r="BF34" s="18">
        <f t="shared" si="4"/>
        <v>83</v>
      </c>
      <c r="BG34" s="35">
        <f t="shared" si="5"/>
        <v>82</v>
      </c>
      <c r="BH34" s="30">
        <f t="shared" si="6"/>
        <v>98</v>
      </c>
      <c r="BI34" s="8" t="str">
        <f t="shared" si="7"/>
        <v/>
      </c>
      <c r="BJ34" s="63"/>
      <c r="BK34" s="5" t="str">
        <f t="shared" si="8"/>
        <v/>
      </c>
      <c r="BL34" s="18" t="str">
        <f t="shared" si="9"/>
        <v/>
      </c>
      <c r="BM34" s="10" t="str">
        <f t="shared" si="10"/>
        <v/>
      </c>
      <c r="BN34" s="63"/>
      <c r="BO34" s="5" t="str">
        <f t="shared" si="11"/>
        <v/>
      </c>
      <c r="BP34" s="18" t="str">
        <f t="shared" si="12"/>
        <v/>
      </c>
      <c r="BQ34" s="20" t="str">
        <f t="shared" si="13"/>
        <v>Aprobado</v>
      </c>
    </row>
    <row r="35" spans="2:69" s="3" customFormat="1" ht="20.100000000000001" customHeight="1" x14ac:dyDescent="0.25">
      <c r="B35" s="49">
        <f>IFERROR('[1]LISTA 4TO A MULTIMEDIA'!A33,"")</f>
        <v>26</v>
      </c>
      <c r="C35" s="50" t="str">
        <f>IFERROR('[1]LISTA 4TO A MULTIMEDIA'!B33,"")</f>
        <v xml:space="preserve">Matius </v>
      </c>
      <c r="D35" s="13" t="str">
        <f>IFERROR('[1]LISTA 4TO A MULTIMEDIA'!C33,"")</f>
        <v>Silfa Álvarez</v>
      </c>
      <c r="E35" s="39" t="str">
        <f>IFERROR('[1]LISTA 4TO A MULTIMEDIA'!M33,"")</f>
        <v>ACTIVO</v>
      </c>
      <c r="F35" s="8">
        <v>94</v>
      </c>
      <c r="G35" s="5"/>
      <c r="H35" s="5"/>
      <c r="I35" s="58"/>
      <c r="J35" s="10"/>
      <c r="K35" s="5">
        <v>94</v>
      </c>
      <c r="L35" s="5"/>
      <c r="M35" s="58"/>
      <c r="N35" s="10"/>
      <c r="O35" s="5">
        <v>96</v>
      </c>
      <c r="P35" s="5"/>
      <c r="Q35" s="58"/>
      <c r="R35" s="10"/>
      <c r="S35" s="5"/>
      <c r="T35" s="5">
        <v>95</v>
      </c>
      <c r="U35" s="58"/>
      <c r="V35" s="10"/>
      <c r="W35" s="5">
        <v>95</v>
      </c>
      <c r="X35" s="5"/>
      <c r="Y35" s="58"/>
      <c r="Z35" s="10"/>
      <c r="AA35" s="5"/>
      <c r="AB35" s="5">
        <v>94</v>
      </c>
      <c r="AC35" s="58"/>
      <c r="AD35" s="10"/>
      <c r="AE35" s="5"/>
      <c r="AF35" s="5">
        <v>92</v>
      </c>
      <c r="AG35" s="58"/>
      <c r="AH35" s="10"/>
      <c r="AI35" s="5"/>
      <c r="AJ35" s="5"/>
      <c r="AK35" s="58">
        <v>98</v>
      </c>
      <c r="AL35" s="10"/>
      <c r="AM35" s="5"/>
      <c r="AN35" s="5"/>
      <c r="AO35" s="58">
        <v>96</v>
      </c>
      <c r="AP35" s="10"/>
      <c r="AQ35" s="5"/>
      <c r="AR35" s="5"/>
      <c r="AS35" s="58"/>
      <c r="AT35" s="10">
        <v>94</v>
      </c>
      <c r="AU35" s="5">
        <v>91</v>
      </c>
      <c r="AV35" s="5">
        <v>100</v>
      </c>
      <c r="AW35" s="58">
        <v>100</v>
      </c>
      <c r="AY35" s="1">
        <f>Tabla423[[#This Row],['#]]</f>
        <v>26</v>
      </c>
      <c r="AZ35" s="13" t="str">
        <f>Tabla423[[#This Row],[Nombres]]</f>
        <v xml:space="preserve">Matius </v>
      </c>
      <c r="BA35" s="14" t="str">
        <f>Tabla423[[#This Row],[Apellidos]]</f>
        <v>Silfa Álvarez</v>
      </c>
      <c r="BB35" s="28" t="str">
        <f>Tabla423[[#This Row],[Codición Actual]]</f>
        <v>ACTIVO</v>
      </c>
      <c r="BC35" s="5">
        <f t="shared" si="1"/>
        <v>94</v>
      </c>
      <c r="BD35" s="5">
        <f t="shared" si="2"/>
        <v>95</v>
      </c>
      <c r="BE35" s="5">
        <f t="shared" si="3"/>
        <v>94</v>
      </c>
      <c r="BF35" s="18">
        <f t="shared" si="4"/>
        <v>97</v>
      </c>
      <c r="BG35" s="35">
        <f t="shared" si="5"/>
        <v>95</v>
      </c>
      <c r="BH35" s="30">
        <f t="shared" si="6"/>
        <v>96</v>
      </c>
      <c r="BI35" s="8" t="str">
        <f t="shared" si="7"/>
        <v/>
      </c>
      <c r="BJ35" s="63"/>
      <c r="BK35" s="5" t="str">
        <f t="shared" si="8"/>
        <v/>
      </c>
      <c r="BL35" s="18" t="str">
        <f t="shared" si="9"/>
        <v/>
      </c>
      <c r="BM35" s="10" t="str">
        <f t="shared" si="10"/>
        <v/>
      </c>
      <c r="BN35" s="63"/>
      <c r="BO35" s="5" t="str">
        <f t="shared" si="11"/>
        <v/>
      </c>
      <c r="BP35" s="18" t="str">
        <f t="shared" si="12"/>
        <v/>
      </c>
      <c r="BQ35" s="20" t="str">
        <f t="shared" si="13"/>
        <v>Aprobado</v>
      </c>
    </row>
    <row r="36" spans="2:69" s="6" customFormat="1" ht="20.100000000000001" customHeight="1" x14ac:dyDescent="0.25">
      <c r="B36" s="49">
        <f>IFERROR('[1]LISTA 4TO A MULTIMEDIA'!A34,"")</f>
        <v>27</v>
      </c>
      <c r="C36" s="50" t="str">
        <f>IFERROR('[1]LISTA 4TO A MULTIMEDIA'!B34,"")</f>
        <v xml:space="preserve">Jorlenny Massiel </v>
      </c>
      <c r="D36" s="13" t="str">
        <f>IFERROR('[1]LISTA 4TO A MULTIMEDIA'!C34,"")</f>
        <v xml:space="preserve">Solano Ceballos </v>
      </c>
      <c r="E36" s="39" t="str">
        <f>IFERROR('[1]LISTA 4TO A MULTIMEDIA'!M34,"")</f>
        <v>ACTIVO</v>
      </c>
      <c r="F36" s="8">
        <v>90</v>
      </c>
      <c r="G36" s="5"/>
      <c r="H36" s="5"/>
      <c r="I36" s="58"/>
      <c r="J36" s="10"/>
      <c r="K36" s="5">
        <v>96</v>
      </c>
      <c r="L36" s="5"/>
      <c r="M36" s="58"/>
      <c r="N36" s="10"/>
      <c r="O36" s="5">
        <v>95</v>
      </c>
      <c r="P36" s="5"/>
      <c r="Q36" s="58"/>
      <c r="R36" s="10"/>
      <c r="S36" s="5"/>
      <c r="T36" s="5">
        <v>96</v>
      </c>
      <c r="U36" s="58"/>
      <c r="V36" s="10"/>
      <c r="W36" s="5">
        <v>96</v>
      </c>
      <c r="X36" s="5"/>
      <c r="Y36" s="58"/>
      <c r="Z36" s="10"/>
      <c r="AA36" s="5"/>
      <c r="AB36" s="5">
        <v>96</v>
      </c>
      <c r="AC36" s="58"/>
      <c r="AD36" s="10"/>
      <c r="AE36" s="5"/>
      <c r="AF36" s="5">
        <v>95</v>
      </c>
      <c r="AG36" s="58"/>
      <c r="AH36" s="10"/>
      <c r="AI36" s="5"/>
      <c r="AJ36" s="5"/>
      <c r="AK36" s="58">
        <v>98</v>
      </c>
      <c r="AL36" s="10"/>
      <c r="AM36" s="5"/>
      <c r="AN36" s="5"/>
      <c r="AO36" s="58">
        <v>96</v>
      </c>
      <c r="AP36" s="10"/>
      <c r="AQ36" s="5"/>
      <c r="AR36" s="5"/>
      <c r="AS36" s="58"/>
      <c r="AT36" s="10">
        <v>94</v>
      </c>
      <c r="AU36" s="5">
        <v>90</v>
      </c>
      <c r="AV36" s="5">
        <v>92</v>
      </c>
      <c r="AW36" s="58">
        <v>98</v>
      </c>
      <c r="AY36" s="1">
        <f>Tabla423[[#This Row],['#]]</f>
        <v>27</v>
      </c>
      <c r="AZ36" s="13" t="str">
        <f>Tabla423[[#This Row],[Nombres]]</f>
        <v xml:space="preserve">Jorlenny Massiel </v>
      </c>
      <c r="BA36" s="14" t="str">
        <f>Tabla423[[#This Row],[Apellidos]]</f>
        <v xml:space="preserve">Solano Ceballos </v>
      </c>
      <c r="BB36" s="28" t="str">
        <f>Tabla423[[#This Row],[Codición Actual]]</f>
        <v>ACTIVO</v>
      </c>
      <c r="BC36" s="5">
        <f t="shared" si="1"/>
        <v>90</v>
      </c>
      <c r="BD36" s="5">
        <f t="shared" si="2"/>
        <v>96</v>
      </c>
      <c r="BE36" s="5">
        <f t="shared" si="3"/>
        <v>96</v>
      </c>
      <c r="BF36" s="18">
        <f t="shared" si="4"/>
        <v>97</v>
      </c>
      <c r="BG36" s="35">
        <f t="shared" si="5"/>
        <v>95</v>
      </c>
      <c r="BH36" s="30">
        <f>IF(COUNTA((AT36:AW36))=4,ROUND(AVERAGE(AT36:AW36),0),"")</f>
        <v>94</v>
      </c>
      <c r="BI36" s="8" t="str">
        <f t="shared" si="7"/>
        <v/>
      </c>
      <c r="BJ36" s="63"/>
      <c r="BK36" s="5" t="str">
        <f t="shared" si="8"/>
        <v/>
      </c>
      <c r="BL36" s="18" t="str">
        <f t="shared" si="9"/>
        <v/>
      </c>
      <c r="BM36" s="10" t="str">
        <f t="shared" si="10"/>
        <v/>
      </c>
      <c r="BN36" s="63"/>
      <c r="BO36" s="5" t="str">
        <f t="shared" si="11"/>
        <v/>
      </c>
      <c r="BP36" s="18" t="str">
        <f t="shared" si="12"/>
        <v/>
      </c>
      <c r="BQ36" s="20" t="str">
        <f t="shared" si="13"/>
        <v>Aprobado</v>
      </c>
    </row>
    <row r="37" spans="2:69" s="3" customFormat="1" ht="20.100000000000001" customHeight="1" x14ac:dyDescent="0.25">
      <c r="B37" s="49">
        <f>IFERROR('[1]LISTA 4TO A MULTIMEDIA'!A35,"")</f>
        <v>28</v>
      </c>
      <c r="C37" s="50" t="str">
        <f>IFERROR('[1]LISTA 4TO A MULTIMEDIA'!B35,"")</f>
        <v xml:space="preserve">Micaias Moises </v>
      </c>
      <c r="D37" s="13" t="str">
        <f>IFERROR('[1]LISTA 4TO A MULTIMEDIA'!C35,"")</f>
        <v>Torres Cabrera</v>
      </c>
      <c r="E37" s="39" t="str">
        <f>IFERROR('[1]LISTA 4TO A MULTIMEDIA'!M35,"")</f>
        <v>ACTIVO</v>
      </c>
      <c r="F37" s="8">
        <v>80</v>
      </c>
      <c r="G37" s="5"/>
      <c r="H37" s="5"/>
      <c r="I37" s="58"/>
      <c r="J37" s="10"/>
      <c r="K37" s="5">
        <v>75</v>
      </c>
      <c r="L37" s="5"/>
      <c r="M37" s="58"/>
      <c r="N37" s="10"/>
      <c r="O37" s="5">
        <v>65</v>
      </c>
      <c r="P37" s="5"/>
      <c r="Q37" s="58"/>
      <c r="R37" s="10"/>
      <c r="S37" s="5"/>
      <c r="T37" s="5">
        <v>86</v>
      </c>
      <c r="U37" s="58"/>
      <c r="V37" s="10"/>
      <c r="W37" s="5">
        <v>70</v>
      </c>
      <c r="X37" s="5"/>
      <c r="Y37" s="58"/>
      <c r="Z37" s="10"/>
      <c r="AA37" s="5"/>
      <c r="AB37" s="5">
        <v>88</v>
      </c>
      <c r="AC37" s="58"/>
      <c r="AD37" s="10"/>
      <c r="AE37" s="5"/>
      <c r="AF37" s="5">
        <v>90</v>
      </c>
      <c r="AG37" s="58"/>
      <c r="AH37" s="10"/>
      <c r="AI37" s="5"/>
      <c r="AJ37" s="5"/>
      <c r="AK37" s="58">
        <v>78</v>
      </c>
      <c r="AL37" s="10"/>
      <c r="AM37" s="5"/>
      <c r="AN37" s="5"/>
      <c r="AO37" s="58">
        <v>76</v>
      </c>
      <c r="AP37" s="10"/>
      <c r="AQ37" s="5"/>
      <c r="AR37" s="5"/>
      <c r="AS37" s="58"/>
      <c r="AT37" s="10">
        <v>92</v>
      </c>
      <c r="AU37" s="5">
        <v>96</v>
      </c>
      <c r="AV37" s="5">
        <v>92</v>
      </c>
      <c r="AW37" s="58">
        <v>100</v>
      </c>
      <c r="AY37" s="1">
        <f>Tabla423[[#This Row],['#]]</f>
        <v>28</v>
      </c>
      <c r="AZ37" s="13" t="str">
        <f>Tabla423[[#This Row],[Nombres]]</f>
        <v xml:space="preserve">Micaias Moises </v>
      </c>
      <c r="BA37" s="14" t="str">
        <f>Tabla423[[#This Row],[Apellidos]]</f>
        <v>Torres Cabrera</v>
      </c>
      <c r="BB37" s="28" t="str">
        <f>Tabla423[[#This Row],[Codición Actual]]</f>
        <v>ACTIVO</v>
      </c>
      <c r="BC37" s="5">
        <f t="shared" si="1"/>
        <v>80</v>
      </c>
      <c r="BD37" s="5">
        <f t="shared" si="2"/>
        <v>70</v>
      </c>
      <c r="BE37" s="5">
        <f t="shared" si="3"/>
        <v>88</v>
      </c>
      <c r="BF37" s="18">
        <f t="shared" si="4"/>
        <v>77</v>
      </c>
      <c r="BG37" s="35">
        <f t="shared" si="5"/>
        <v>79</v>
      </c>
      <c r="BH37" s="30">
        <f t="shared" si="6"/>
        <v>95</v>
      </c>
      <c r="BI37" s="8" t="str">
        <f t="shared" si="7"/>
        <v/>
      </c>
      <c r="BJ37" s="63"/>
      <c r="BK37" s="5" t="str">
        <f t="shared" si="8"/>
        <v/>
      </c>
      <c r="BL37" s="18" t="str">
        <f t="shared" si="9"/>
        <v/>
      </c>
      <c r="BM37" s="10" t="str">
        <f t="shared" si="10"/>
        <v/>
      </c>
      <c r="BN37" s="63"/>
      <c r="BO37" s="5" t="str">
        <f t="shared" si="11"/>
        <v/>
      </c>
      <c r="BP37" s="18" t="str">
        <f t="shared" si="12"/>
        <v/>
      </c>
      <c r="BQ37" s="20" t="str">
        <f t="shared" si="13"/>
        <v>Aprobado</v>
      </c>
    </row>
    <row r="38" spans="2:69" s="6" customFormat="1" ht="20.100000000000001" customHeight="1" x14ac:dyDescent="0.25">
      <c r="B38" s="49">
        <f>IFERROR('[1]LISTA 4TO A MULTIMEDIA'!A36,"")</f>
        <v>29</v>
      </c>
      <c r="C38" s="50" t="str">
        <f>IFERROR('[1]LISTA 4TO A MULTIMEDIA'!B36,"")</f>
        <v xml:space="preserve">Victor Rafael </v>
      </c>
      <c r="D38" s="13" t="str">
        <f>IFERROR('[1]LISTA 4TO A MULTIMEDIA'!C36,"")</f>
        <v>Vazquez Duran</v>
      </c>
      <c r="E38" s="39" t="str">
        <f>IFERROR('[1]LISTA 4TO A MULTIMEDIA'!M36,"")</f>
        <v>ACTIVO</v>
      </c>
      <c r="F38" s="8">
        <v>80</v>
      </c>
      <c r="G38" s="5"/>
      <c r="H38" s="5"/>
      <c r="I38" s="58"/>
      <c r="J38" s="10"/>
      <c r="K38" s="5">
        <v>74</v>
      </c>
      <c r="L38" s="5"/>
      <c r="M38" s="58"/>
      <c r="N38" s="10"/>
      <c r="O38" s="5">
        <v>68</v>
      </c>
      <c r="P38" s="5"/>
      <c r="Q38" s="58"/>
      <c r="R38" s="10"/>
      <c r="S38" s="5"/>
      <c r="T38" s="5">
        <v>90</v>
      </c>
      <c r="U38" s="58"/>
      <c r="V38" s="10"/>
      <c r="W38" s="5">
        <v>70</v>
      </c>
      <c r="X38" s="5"/>
      <c r="Y38" s="58"/>
      <c r="Z38" s="10"/>
      <c r="AA38" s="5"/>
      <c r="AB38" s="5">
        <v>86</v>
      </c>
      <c r="AC38" s="58"/>
      <c r="AD38" s="10"/>
      <c r="AE38" s="5"/>
      <c r="AF38" s="5">
        <v>96</v>
      </c>
      <c r="AG38" s="58"/>
      <c r="AH38" s="10"/>
      <c r="AI38" s="5"/>
      <c r="AJ38" s="5"/>
      <c r="AK38" s="58">
        <v>75</v>
      </c>
      <c r="AL38" s="10"/>
      <c r="AM38" s="5"/>
      <c r="AN38" s="5"/>
      <c r="AO38" s="58">
        <v>76</v>
      </c>
      <c r="AP38" s="10"/>
      <c r="AQ38" s="5"/>
      <c r="AR38" s="5"/>
      <c r="AS38" s="58"/>
      <c r="AT38" s="10">
        <v>94</v>
      </c>
      <c r="AU38" s="5">
        <v>97</v>
      </c>
      <c r="AV38" s="5">
        <v>100</v>
      </c>
      <c r="AW38" s="58">
        <v>90</v>
      </c>
      <c r="AY38" s="1">
        <f>Tabla423[[#This Row],['#]]</f>
        <v>29</v>
      </c>
      <c r="AZ38" s="13" t="str">
        <f>Tabla423[[#This Row],[Nombres]]</f>
        <v xml:space="preserve">Victor Rafael </v>
      </c>
      <c r="BA38" s="14" t="str">
        <f>Tabla423[[#This Row],[Apellidos]]</f>
        <v>Vazquez Duran</v>
      </c>
      <c r="BB38" s="28" t="str">
        <f>Tabla423[[#This Row],[Codición Actual]]</f>
        <v>ACTIVO</v>
      </c>
      <c r="BC38" s="5">
        <f t="shared" si="1"/>
        <v>80</v>
      </c>
      <c r="BD38" s="5">
        <f t="shared" si="2"/>
        <v>71</v>
      </c>
      <c r="BE38" s="5">
        <f t="shared" si="3"/>
        <v>91</v>
      </c>
      <c r="BF38" s="18">
        <f t="shared" si="4"/>
        <v>76</v>
      </c>
      <c r="BG38" s="35">
        <f t="shared" si="5"/>
        <v>80</v>
      </c>
      <c r="BH38" s="30">
        <f t="shared" si="6"/>
        <v>95</v>
      </c>
      <c r="BI38" s="8" t="str">
        <f t="shared" si="7"/>
        <v/>
      </c>
      <c r="BJ38" s="63"/>
      <c r="BK38" s="5" t="str">
        <f t="shared" si="8"/>
        <v/>
      </c>
      <c r="BL38" s="18" t="str">
        <f t="shared" si="9"/>
        <v/>
      </c>
      <c r="BM38" s="10" t="str">
        <f t="shared" si="10"/>
        <v/>
      </c>
      <c r="BN38" s="63"/>
      <c r="BO38" s="5" t="str">
        <f t="shared" si="11"/>
        <v/>
      </c>
      <c r="BP38" s="18" t="str">
        <f t="shared" si="12"/>
        <v/>
      </c>
      <c r="BQ38" s="20" t="str">
        <f t="shared" si="13"/>
        <v>Aprobado</v>
      </c>
    </row>
    <row r="39" spans="2:69" ht="20.100000000000001" customHeight="1" x14ac:dyDescent="0.25">
      <c r="B39" s="49">
        <f>IFERROR('[1]LISTA 4TO A MULTIMEDIA'!A37,"")</f>
        <v>30</v>
      </c>
      <c r="C39" s="50" t="str">
        <f>IFERROR('[1]LISTA 4TO A MULTIMEDIA'!B37,"")</f>
        <v xml:space="preserve">Samuel Alexander </v>
      </c>
      <c r="D39" s="13" t="str">
        <f>IFERROR('[1]LISTA 4TO A MULTIMEDIA'!C37,"")</f>
        <v xml:space="preserve">Veloz Contreras </v>
      </c>
      <c r="E39" s="39" t="str">
        <f>IFERROR('[1]LISTA 4TO A MULTIMEDIA'!M37,"")</f>
        <v>ACTIVO</v>
      </c>
      <c r="F39" s="8">
        <v>70</v>
      </c>
      <c r="G39" s="5"/>
      <c r="H39" s="5"/>
      <c r="I39" s="58"/>
      <c r="J39" s="10"/>
      <c r="K39" s="5">
        <v>75</v>
      </c>
      <c r="L39" s="5"/>
      <c r="M39" s="58"/>
      <c r="N39" s="10"/>
      <c r="O39" s="5">
        <v>76</v>
      </c>
      <c r="P39" s="5"/>
      <c r="Q39" s="58"/>
      <c r="R39" s="10"/>
      <c r="S39" s="5"/>
      <c r="T39" s="5">
        <v>86</v>
      </c>
      <c r="U39" s="58"/>
      <c r="V39" s="10"/>
      <c r="W39" s="5">
        <v>80</v>
      </c>
      <c r="X39" s="5"/>
      <c r="Y39" s="58"/>
      <c r="Z39" s="10"/>
      <c r="AA39" s="5"/>
      <c r="AB39" s="5">
        <v>88</v>
      </c>
      <c r="AC39" s="58"/>
      <c r="AD39" s="10"/>
      <c r="AE39" s="5"/>
      <c r="AF39" s="5">
        <v>90</v>
      </c>
      <c r="AG39" s="58"/>
      <c r="AH39" s="10"/>
      <c r="AI39" s="5"/>
      <c r="AJ39" s="5"/>
      <c r="AK39" s="58">
        <v>85</v>
      </c>
      <c r="AL39" s="10"/>
      <c r="AM39" s="5"/>
      <c r="AN39" s="5"/>
      <c r="AO39" s="58">
        <v>84</v>
      </c>
      <c r="AP39" s="10"/>
      <c r="AQ39" s="5"/>
      <c r="AR39" s="5"/>
      <c r="AS39" s="58"/>
      <c r="AT39" s="10">
        <v>88</v>
      </c>
      <c r="AU39" s="5">
        <v>85</v>
      </c>
      <c r="AV39" s="5">
        <v>100</v>
      </c>
      <c r="AW39" s="58">
        <v>98</v>
      </c>
      <c r="AY39" s="1">
        <f>Tabla423[[#This Row],['#]]</f>
        <v>30</v>
      </c>
      <c r="AZ39" s="13" t="str">
        <f>Tabla423[[#This Row],[Nombres]]</f>
        <v xml:space="preserve">Samuel Alexander </v>
      </c>
      <c r="BA39" s="14" t="str">
        <f>Tabla423[[#This Row],[Apellidos]]</f>
        <v xml:space="preserve">Veloz Contreras </v>
      </c>
      <c r="BB39" s="28" t="str">
        <f>Tabla423[[#This Row],[Codición Actual]]</f>
        <v>ACTIVO</v>
      </c>
      <c r="BC39" s="5">
        <f t="shared" si="1"/>
        <v>70</v>
      </c>
      <c r="BD39" s="5">
        <f t="shared" si="2"/>
        <v>77</v>
      </c>
      <c r="BE39" s="5">
        <f t="shared" si="3"/>
        <v>88</v>
      </c>
      <c r="BF39" s="18">
        <f t="shared" si="4"/>
        <v>85</v>
      </c>
      <c r="BG39" s="35">
        <f t="shared" si="5"/>
        <v>80</v>
      </c>
      <c r="BH39" s="30">
        <f t="shared" si="6"/>
        <v>93</v>
      </c>
      <c r="BI39" s="8" t="str">
        <f t="shared" si="7"/>
        <v/>
      </c>
      <c r="BJ39" s="63"/>
      <c r="BK39" s="5" t="str">
        <f t="shared" si="8"/>
        <v/>
      </c>
      <c r="BL39" s="18" t="str">
        <f t="shared" si="9"/>
        <v/>
      </c>
      <c r="BM39" s="10" t="str">
        <f t="shared" si="10"/>
        <v/>
      </c>
      <c r="BN39" s="63"/>
      <c r="BO39" s="5" t="str">
        <f t="shared" si="11"/>
        <v/>
      </c>
      <c r="BP39" s="18" t="str">
        <f t="shared" si="12"/>
        <v/>
      </c>
      <c r="BQ39" s="20" t="str">
        <f t="shared" si="13"/>
        <v>Aprobado</v>
      </c>
    </row>
    <row r="40" spans="2:69" ht="20.100000000000001" customHeight="1" x14ac:dyDescent="0.25">
      <c r="B40" s="49">
        <f>IFERROR('[1]LISTA 4TO A MULTIMEDIA'!A38,"")</f>
        <v>31</v>
      </c>
      <c r="C40" s="50" t="str">
        <f>IFERROR('[1]LISTA 4TO A MULTIMEDIA'!B38,"")</f>
        <v>Josue  Francisco</v>
      </c>
      <c r="D40" s="13" t="str">
        <f>IFERROR('[1]LISTA 4TO A MULTIMEDIA'!C38,"")</f>
        <v>Fabre Rodríguez</v>
      </c>
      <c r="E40" s="39" t="str">
        <f>IFERROR('[1]LISTA 4TO A MULTIMEDIA'!M38,"")</f>
        <v>ACTIVO</v>
      </c>
      <c r="F40" s="8">
        <v>80</v>
      </c>
      <c r="G40" s="5"/>
      <c r="H40" s="5"/>
      <c r="I40" s="58"/>
      <c r="J40" s="10"/>
      <c r="K40" s="5">
        <v>78</v>
      </c>
      <c r="L40" s="5"/>
      <c r="M40" s="58"/>
      <c r="N40" s="10"/>
      <c r="O40" s="5">
        <v>80</v>
      </c>
      <c r="P40" s="5"/>
      <c r="Q40" s="58"/>
      <c r="R40" s="10"/>
      <c r="S40" s="5"/>
      <c r="T40" s="5">
        <v>88</v>
      </c>
      <c r="U40" s="58"/>
      <c r="V40" s="10"/>
      <c r="W40" s="5">
        <v>88</v>
      </c>
      <c r="X40" s="5"/>
      <c r="Y40" s="58"/>
      <c r="Z40" s="10"/>
      <c r="AA40" s="5"/>
      <c r="AB40" s="5">
        <v>88</v>
      </c>
      <c r="AC40" s="58"/>
      <c r="AD40" s="10"/>
      <c r="AE40" s="5"/>
      <c r="AF40" s="5">
        <v>88</v>
      </c>
      <c r="AG40" s="58"/>
      <c r="AH40" s="10"/>
      <c r="AI40" s="5"/>
      <c r="AJ40" s="5"/>
      <c r="AK40" s="58">
        <v>80</v>
      </c>
      <c r="AL40" s="10"/>
      <c r="AM40" s="5"/>
      <c r="AN40" s="5"/>
      <c r="AO40" s="58">
        <v>82</v>
      </c>
      <c r="AP40" s="10"/>
      <c r="AQ40" s="5"/>
      <c r="AR40" s="5"/>
      <c r="AS40" s="58"/>
      <c r="AT40" s="10">
        <v>80</v>
      </c>
      <c r="AU40" s="5">
        <v>80</v>
      </c>
      <c r="AV40" s="5">
        <v>94</v>
      </c>
      <c r="AW40" s="58">
        <v>94</v>
      </c>
      <c r="AY40" s="1">
        <f>Tabla423[[#This Row],['#]]</f>
        <v>31</v>
      </c>
      <c r="AZ40" s="13" t="str">
        <f>Tabla423[[#This Row],[Nombres]]</f>
        <v>Josue  Francisco</v>
      </c>
      <c r="BA40" s="14" t="str">
        <f>Tabla423[[#This Row],[Apellidos]]</f>
        <v>Fabre Rodríguez</v>
      </c>
      <c r="BB40" s="28" t="str">
        <f>Tabla423[[#This Row],[Codición Actual]]</f>
        <v>ACTIVO</v>
      </c>
      <c r="BC40" s="5">
        <f t="shared" si="1"/>
        <v>80</v>
      </c>
      <c r="BD40" s="5">
        <f t="shared" si="2"/>
        <v>82</v>
      </c>
      <c r="BE40" s="5">
        <f t="shared" si="3"/>
        <v>88</v>
      </c>
      <c r="BF40" s="18">
        <f t="shared" si="4"/>
        <v>81</v>
      </c>
      <c r="BG40" s="35">
        <f t="shared" si="5"/>
        <v>83</v>
      </c>
      <c r="BH40" s="30">
        <f t="shared" si="6"/>
        <v>87</v>
      </c>
      <c r="BI40" s="8" t="str">
        <f t="shared" si="7"/>
        <v/>
      </c>
      <c r="BJ40" s="63"/>
      <c r="BK40" s="5" t="str">
        <f t="shared" si="8"/>
        <v/>
      </c>
      <c r="BL40" s="18" t="str">
        <f t="shared" si="9"/>
        <v/>
      </c>
      <c r="BM40" s="10" t="str">
        <f t="shared" si="10"/>
        <v/>
      </c>
      <c r="BN40" s="63"/>
      <c r="BO40" s="5" t="str">
        <f t="shared" si="11"/>
        <v/>
      </c>
      <c r="BP40" s="18" t="str">
        <f t="shared" si="12"/>
        <v/>
      </c>
      <c r="BQ40" s="20" t="str">
        <f t="shared" si="13"/>
        <v>Aprobado</v>
      </c>
    </row>
    <row r="41" spans="2:69" ht="20.100000000000001" customHeight="1" x14ac:dyDescent="0.25">
      <c r="B41" s="49">
        <f>IFERROR('[1]LISTA 4TO A MULTIMEDIA'!A39,"")</f>
        <v>0</v>
      </c>
      <c r="C41" s="50">
        <f>IFERROR('[1]LISTA 4TO A MULTIMEDIA'!B39,"")</f>
        <v>0</v>
      </c>
      <c r="D41" s="13">
        <f>IFERROR('[1]LISTA 4TO A MULTIMEDIA'!C39,"")</f>
        <v>0</v>
      </c>
      <c r="E41" s="39">
        <f>IFERROR('[1]LISTA 4TO A MULTIMEDIA'!M39,"")</f>
        <v>0</v>
      </c>
      <c r="F41" s="8"/>
      <c r="G41" s="5"/>
      <c r="H41" s="5"/>
      <c r="I41" s="58"/>
      <c r="J41" s="10"/>
      <c r="K41" s="5"/>
      <c r="L41" s="5"/>
      <c r="M41" s="58"/>
      <c r="N41" s="10"/>
      <c r="O41" s="5"/>
      <c r="P41" s="5"/>
      <c r="Q41" s="58"/>
      <c r="R41" s="10"/>
      <c r="S41" s="5"/>
      <c r="T41" s="5"/>
      <c r="U41" s="58"/>
      <c r="V41" s="10"/>
      <c r="W41" s="5"/>
      <c r="X41" s="5"/>
      <c r="Y41" s="58"/>
      <c r="Z41" s="10"/>
      <c r="AA41" s="5"/>
      <c r="AB41" s="5"/>
      <c r="AC41" s="58"/>
      <c r="AD41" s="10"/>
      <c r="AE41" s="5"/>
      <c r="AF41" s="5"/>
      <c r="AG41" s="58"/>
      <c r="AH41" s="10"/>
      <c r="AI41" s="5"/>
      <c r="AJ41" s="5"/>
      <c r="AK41" s="58"/>
      <c r="AL41" s="10"/>
      <c r="AM41" s="5"/>
      <c r="AN41" s="5"/>
      <c r="AO41" s="58"/>
      <c r="AP41" s="10"/>
      <c r="AQ41" s="5"/>
      <c r="AR41" s="5"/>
      <c r="AS41" s="58"/>
      <c r="AT41" s="10"/>
      <c r="AU41" s="5"/>
      <c r="AV41" s="5"/>
      <c r="AW41" s="58"/>
      <c r="AY41" s="1">
        <f>Tabla423[[#This Row],['#]]</f>
        <v>0</v>
      </c>
      <c r="AZ41" s="13">
        <f>Tabla423[[#This Row],[Nombres]]</f>
        <v>0</v>
      </c>
      <c r="BA41" s="14">
        <f>Tabla423[[#This Row],[Apellidos]]</f>
        <v>0</v>
      </c>
      <c r="BB41" s="28">
        <f>Tabla423[[#This Row],[Codición Actual]]</f>
        <v>0</v>
      </c>
      <c r="BC41" s="5" t="str">
        <f t="shared" si="1"/>
        <v/>
      </c>
      <c r="BD41" s="5" t="str">
        <f t="shared" si="2"/>
        <v/>
      </c>
      <c r="BE41" s="5" t="str">
        <f t="shared" si="3"/>
        <v/>
      </c>
      <c r="BF41" s="18" t="str">
        <f t="shared" si="4"/>
        <v/>
      </c>
      <c r="BG41" s="35" t="str">
        <f t="shared" si="5"/>
        <v/>
      </c>
      <c r="BH41" s="30" t="str">
        <f t="shared" si="6"/>
        <v/>
      </c>
      <c r="BI41" s="8" t="str">
        <f t="shared" si="7"/>
        <v/>
      </c>
      <c r="BJ41" s="63"/>
      <c r="BK41" s="5" t="str">
        <f t="shared" si="8"/>
        <v/>
      </c>
      <c r="BL41" s="18" t="str">
        <f t="shared" si="9"/>
        <v/>
      </c>
      <c r="BM41" s="10" t="str">
        <f t="shared" si="10"/>
        <v/>
      </c>
      <c r="BN41" s="63"/>
      <c r="BO41" s="5" t="str">
        <f t="shared" si="11"/>
        <v/>
      </c>
      <c r="BP41" s="18" t="str">
        <f t="shared" si="12"/>
        <v/>
      </c>
      <c r="BQ41" s="20">
        <f t="shared" si="13"/>
        <v>0</v>
      </c>
    </row>
    <row r="42" spans="2:69" ht="20.100000000000001" customHeight="1" x14ac:dyDescent="0.25">
      <c r="B42" s="49">
        <f>IFERROR('[1]LISTA 4TO A MULTIMEDIA'!A40,"")</f>
        <v>0</v>
      </c>
      <c r="C42" s="50">
        <f>IFERROR('[1]LISTA 4TO A MULTIMEDIA'!B40,"")</f>
        <v>0</v>
      </c>
      <c r="D42" s="13">
        <f>IFERROR('[1]LISTA 4TO A MULTIMEDIA'!C40,"")</f>
        <v>0</v>
      </c>
      <c r="E42" s="39">
        <f>IFERROR('[1]LISTA 4TO A MULTIMEDIA'!M40,"")</f>
        <v>0</v>
      </c>
      <c r="F42" s="8"/>
      <c r="G42" s="5"/>
      <c r="H42" s="5"/>
      <c r="I42" s="59"/>
      <c r="J42" s="10"/>
      <c r="K42" s="5"/>
      <c r="L42" s="5"/>
      <c r="M42" s="59"/>
      <c r="N42" s="10"/>
      <c r="O42" s="5"/>
      <c r="P42" s="5"/>
      <c r="Q42" s="59"/>
      <c r="R42" s="10"/>
      <c r="S42" s="5"/>
      <c r="T42" s="5"/>
      <c r="U42" s="59"/>
      <c r="V42" s="10"/>
      <c r="W42" s="5"/>
      <c r="X42" s="5"/>
      <c r="Y42" s="59"/>
      <c r="Z42" s="10"/>
      <c r="AA42" s="5"/>
      <c r="AB42" s="5"/>
      <c r="AC42" s="59"/>
      <c r="AD42" s="10"/>
      <c r="AE42" s="5"/>
      <c r="AF42" s="5"/>
      <c r="AG42" s="59"/>
      <c r="AH42" s="10" t="s">
        <v>43</v>
      </c>
      <c r="AI42" s="5"/>
      <c r="AJ42" s="5"/>
      <c r="AK42" s="59"/>
      <c r="AL42" s="10"/>
      <c r="AM42" s="5"/>
      <c r="AN42" s="5"/>
      <c r="AO42" s="59"/>
      <c r="AP42" s="10"/>
      <c r="AQ42" s="5"/>
      <c r="AR42" s="5"/>
      <c r="AS42" s="59"/>
      <c r="AT42" s="10"/>
      <c r="AU42" s="5"/>
      <c r="AV42" s="5"/>
      <c r="AW42" s="59"/>
      <c r="AY42" s="1">
        <f>Tabla423[[#This Row],['#]]</f>
        <v>0</v>
      </c>
      <c r="AZ42" s="13">
        <f>Tabla423[[#This Row],[Nombres]]</f>
        <v>0</v>
      </c>
      <c r="BA42" s="14">
        <f>Tabla423[[#This Row],[Apellidos]]</f>
        <v>0</v>
      </c>
      <c r="BB42" s="28">
        <f>Tabla423[[#This Row],[Codición Actual]]</f>
        <v>0</v>
      </c>
      <c r="BC42" s="5" t="str">
        <f t="shared" si="1"/>
        <v/>
      </c>
      <c r="BD42" s="5" t="str">
        <f t="shared" si="2"/>
        <v/>
      </c>
      <c r="BE42" s="5" t="str">
        <f t="shared" si="3"/>
        <v/>
      </c>
      <c r="BF42" s="18" t="str">
        <f t="shared" si="4"/>
        <v/>
      </c>
      <c r="BG42" s="35" t="str">
        <f t="shared" si="5"/>
        <v/>
      </c>
      <c r="BH42" s="30" t="str">
        <f t="shared" si="6"/>
        <v/>
      </c>
      <c r="BI42" s="8" t="str">
        <f t="shared" si="7"/>
        <v/>
      </c>
      <c r="BJ42" s="63"/>
      <c r="BK42" s="5" t="str">
        <f t="shared" si="8"/>
        <v/>
      </c>
      <c r="BL42" s="18" t="str">
        <f t="shared" si="9"/>
        <v/>
      </c>
      <c r="BM42" s="10" t="str">
        <f t="shared" si="10"/>
        <v/>
      </c>
      <c r="BN42" s="63"/>
      <c r="BO42" s="5" t="str">
        <f t="shared" si="11"/>
        <v/>
      </c>
      <c r="BP42" s="18" t="str">
        <f t="shared" si="12"/>
        <v/>
      </c>
      <c r="BQ42" s="20">
        <f t="shared" si="13"/>
        <v>0</v>
      </c>
    </row>
    <row r="43" spans="2:69" ht="20.100000000000001" customHeight="1" x14ac:dyDescent="0.25">
      <c r="B43" s="49">
        <f>IFERROR('[1]LISTA 4TO A MULTIMEDIA'!A41,"")</f>
        <v>0</v>
      </c>
      <c r="C43" s="50">
        <f>IFERROR('[1]LISTA 4TO A MULTIMEDIA'!B41,"")</f>
        <v>0</v>
      </c>
      <c r="D43" s="13">
        <f>IFERROR('[1]LISTA 4TO A MULTIMEDIA'!C41,"")</f>
        <v>0</v>
      </c>
      <c r="E43" s="39">
        <f>IFERROR('[1]LISTA 4TO A MULTIMEDIA'!M41,"")</f>
        <v>0</v>
      </c>
      <c r="F43" s="8"/>
      <c r="G43" s="5"/>
      <c r="H43" s="5"/>
      <c r="I43" s="58"/>
      <c r="J43" s="10"/>
      <c r="K43" s="5"/>
      <c r="L43" s="5"/>
      <c r="M43" s="58"/>
      <c r="N43" s="10"/>
      <c r="O43" s="5"/>
      <c r="P43" s="5"/>
      <c r="Q43" s="58"/>
      <c r="R43" s="10"/>
      <c r="S43" s="5"/>
      <c r="T43" s="5"/>
      <c r="U43" s="58"/>
      <c r="V43" s="10"/>
      <c r="W43" s="5"/>
      <c r="X43" s="5"/>
      <c r="Y43" s="58"/>
      <c r="Z43" s="10"/>
      <c r="AA43" s="5"/>
      <c r="AB43" s="5"/>
      <c r="AC43" s="58"/>
      <c r="AD43" s="10"/>
      <c r="AE43" s="5"/>
      <c r="AF43" s="5"/>
      <c r="AG43" s="58"/>
      <c r="AH43" s="10"/>
      <c r="AI43" s="5"/>
      <c r="AJ43" s="5"/>
      <c r="AK43" s="58"/>
      <c r="AL43" s="10"/>
      <c r="AM43" s="5"/>
      <c r="AN43" s="5"/>
      <c r="AO43" s="58"/>
      <c r="AP43" s="10"/>
      <c r="AQ43" s="5"/>
      <c r="AR43" s="5"/>
      <c r="AS43" s="58"/>
      <c r="AT43" s="10"/>
      <c r="AU43" s="5"/>
      <c r="AV43" s="5"/>
      <c r="AW43" s="58"/>
      <c r="AY43" s="1">
        <f>Tabla423[[#This Row],['#]]</f>
        <v>0</v>
      </c>
      <c r="AZ43" s="13">
        <f>Tabla423[[#This Row],[Nombres]]</f>
        <v>0</v>
      </c>
      <c r="BA43" s="14">
        <f>Tabla423[[#This Row],[Apellidos]]</f>
        <v>0</v>
      </c>
      <c r="BB43" s="28">
        <f>Tabla423[[#This Row],[Codición Actual]]</f>
        <v>0</v>
      </c>
      <c r="BC43" s="5" t="str">
        <f t="shared" si="1"/>
        <v/>
      </c>
      <c r="BD43" s="5" t="str">
        <f t="shared" si="2"/>
        <v/>
      </c>
      <c r="BE43" s="5" t="str">
        <f t="shared" si="3"/>
        <v/>
      </c>
      <c r="BF43" s="18" t="str">
        <f t="shared" si="4"/>
        <v/>
      </c>
      <c r="BG43" s="35" t="str">
        <f t="shared" si="5"/>
        <v/>
      </c>
      <c r="BH43" s="30" t="str">
        <f t="shared" si="6"/>
        <v/>
      </c>
      <c r="BI43" s="8" t="str">
        <f t="shared" si="7"/>
        <v/>
      </c>
      <c r="BJ43" s="63"/>
      <c r="BK43" s="5" t="str">
        <f t="shared" si="8"/>
        <v/>
      </c>
      <c r="BL43" s="18" t="str">
        <f t="shared" si="9"/>
        <v/>
      </c>
      <c r="BM43" s="10" t="str">
        <f t="shared" si="10"/>
        <v/>
      </c>
      <c r="BN43" s="63"/>
      <c r="BO43" s="5" t="str">
        <f t="shared" si="11"/>
        <v/>
      </c>
      <c r="BP43" s="18" t="str">
        <f t="shared" si="12"/>
        <v/>
      </c>
      <c r="BQ43" s="20">
        <f t="shared" si="13"/>
        <v>0</v>
      </c>
    </row>
    <row r="44" spans="2:69" ht="20.100000000000001" customHeight="1" x14ac:dyDescent="0.25">
      <c r="B44" s="49">
        <f>IFERROR('[1]LISTA 4TO A MULTIMEDIA'!A42,"")</f>
        <v>0</v>
      </c>
      <c r="C44" s="50">
        <f>IFERROR('[1]LISTA 4TO A MULTIMEDIA'!B42,"")</f>
        <v>0</v>
      </c>
      <c r="D44" s="13">
        <f>IFERROR('[1]LISTA 4TO A MULTIMEDIA'!C42,"")</f>
        <v>0</v>
      </c>
      <c r="E44" s="39">
        <f>IFERROR('[1]LISTA 4TO A MULTIMEDIA'!M42,"")</f>
        <v>0</v>
      </c>
      <c r="F44" s="8"/>
      <c r="G44" s="5"/>
      <c r="H44" s="5"/>
      <c r="I44" s="58"/>
      <c r="J44" s="10"/>
      <c r="K44" s="5"/>
      <c r="L44" s="5"/>
      <c r="M44" s="58"/>
      <c r="N44" s="10"/>
      <c r="O44" s="5"/>
      <c r="P44" s="5"/>
      <c r="Q44" s="58"/>
      <c r="R44" s="10"/>
      <c r="S44" s="5"/>
      <c r="T44" s="5"/>
      <c r="U44" s="58"/>
      <c r="V44" s="10"/>
      <c r="W44" s="5"/>
      <c r="X44" s="5"/>
      <c r="Y44" s="58"/>
      <c r="Z44" s="10"/>
      <c r="AA44" s="5"/>
      <c r="AB44" s="5"/>
      <c r="AC44" s="58"/>
      <c r="AD44" s="10"/>
      <c r="AE44" s="5"/>
      <c r="AF44" s="5"/>
      <c r="AG44" s="58"/>
      <c r="AH44" s="10"/>
      <c r="AI44" s="5"/>
      <c r="AJ44" s="5"/>
      <c r="AK44" s="58"/>
      <c r="AL44" s="10"/>
      <c r="AM44" s="5"/>
      <c r="AN44" s="5"/>
      <c r="AO44" s="58"/>
      <c r="AP44" s="10"/>
      <c r="AQ44" s="5"/>
      <c r="AR44" s="5"/>
      <c r="AS44" s="58"/>
      <c r="AT44" s="10"/>
      <c r="AU44" s="5"/>
      <c r="AV44" s="5"/>
      <c r="AW44" s="58"/>
      <c r="AY44" s="1">
        <f>Tabla423[[#This Row],['#]]</f>
        <v>0</v>
      </c>
      <c r="AZ44" s="13">
        <f>Tabla423[[#This Row],[Nombres]]</f>
        <v>0</v>
      </c>
      <c r="BA44" s="14">
        <f>Tabla423[[#This Row],[Apellidos]]</f>
        <v>0</v>
      </c>
      <c r="BB44" s="28">
        <f>Tabla423[[#This Row],[Codición Actual]]</f>
        <v>0</v>
      </c>
      <c r="BC44" s="5" t="str">
        <f t="shared" si="1"/>
        <v/>
      </c>
      <c r="BD44" s="5" t="str">
        <f t="shared" si="2"/>
        <v/>
      </c>
      <c r="BE44" s="5" t="str">
        <f t="shared" si="3"/>
        <v/>
      </c>
      <c r="BF44" s="18" t="str">
        <f t="shared" si="4"/>
        <v/>
      </c>
      <c r="BG44" s="35" t="str">
        <f t="shared" si="5"/>
        <v/>
      </c>
      <c r="BH44" s="30" t="str">
        <f t="shared" si="6"/>
        <v/>
      </c>
      <c r="BI44" s="8" t="str">
        <f t="shared" si="7"/>
        <v/>
      </c>
      <c r="BJ44" s="63"/>
      <c r="BK44" s="5" t="str">
        <f t="shared" si="8"/>
        <v/>
      </c>
      <c r="BL44" s="18" t="str">
        <f t="shared" si="9"/>
        <v/>
      </c>
      <c r="BM44" s="10" t="str">
        <f t="shared" si="10"/>
        <v/>
      </c>
      <c r="BN44" s="63"/>
      <c r="BO44" s="5" t="str">
        <f t="shared" si="11"/>
        <v/>
      </c>
      <c r="BP44" s="18" t="str">
        <f t="shared" si="12"/>
        <v/>
      </c>
      <c r="BQ44" s="20">
        <f t="shared" si="13"/>
        <v>0</v>
      </c>
    </row>
    <row r="45" spans="2:69" ht="20.100000000000001" customHeight="1" x14ac:dyDescent="0.25">
      <c r="B45" s="49">
        <f>IFERROR('[1]LISTA 4TO A MULTIMEDIA'!A43,"")</f>
        <v>0</v>
      </c>
      <c r="C45" s="50">
        <f>IFERROR('[1]LISTA 4TO A MULTIMEDIA'!B43,"")</f>
        <v>0</v>
      </c>
      <c r="D45" s="13">
        <f>IFERROR('[1]LISTA 4TO A MULTIMEDIA'!C43,"")</f>
        <v>0</v>
      </c>
      <c r="E45" s="39">
        <f>IFERROR('[1]LISTA 4TO A MULTIMEDIA'!M43,"")</f>
        <v>0</v>
      </c>
      <c r="F45" s="8"/>
      <c r="G45" s="5"/>
      <c r="H45" s="5"/>
      <c r="I45" s="58"/>
      <c r="J45" s="10"/>
      <c r="K45" s="5"/>
      <c r="L45" s="5"/>
      <c r="M45" s="58"/>
      <c r="N45" s="10"/>
      <c r="O45" s="5"/>
      <c r="P45" s="5"/>
      <c r="Q45" s="58"/>
      <c r="R45" s="10"/>
      <c r="S45" s="5"/>
      <c r="T45" s="5"/>
      <c r="U45" s="58"/>
      <c r="V45" s="10"/>
      <c r="W45" s="5"/>
      <c r="X45" s="5"/>
      <c r="Y45" s="58"/>
      <c r="Z45" s="10"/>
      <c r="AA45" s="5"/>
      <c r="AB45" s="5"/>
      <c r="AC45" s="58"/>
      <c r="AD45" s="10"/>
      <c r="AE45" s="5"/>
      <c r="AF45" s="5"/>
      <c r="AG45" s="58"/>
      <c r="AH45" s="10"/>
      <c r="AI45" s="5"/>
      <c r="AJ45" s="5"/>
      <c r="AK45" s="58"/>
      <c r="AL45" s="10"/>
      <c r="AM45" s="5"/>
      <c r="AN45" s="5"/>
      <c r="AO45" s="58"/>
      <c r="AP45" s="10"/>
      <c r="AQ45" s="5"/>
      <c r="AR45" s="5"/>
      <c r="AS45" s="58"/>
      <c r="AT45" s="10"/>
      <c r="AU45" s="5"/>
      <c r="AV45" s="5"/>
      <c r="AW45" s="58"/>
      <c r="AY45" s="1">
        <f>Tabla423[[#This Row],['#]]</f>
        <v>0</v>
      </c>
      <c r="AZ45" s="13">
        <f>Tabla423[[#This Row],[Nombres]]</f>
        <v>0</v>
      </c>
      <c r="BA45" s="14">
        <f>Tabla423[[#This Row],[Apellidos]]</f>
        <v>0</v>
      </c>
      <c r="BB45" s="28">
        <f>Tabla423[[#This Row],[Codición Actual]]</f>
        <v>0</v>
      </c>
      <c r="BC45" s="5" t="str">
        <f t="shared" si="1"/>
        <v/>
      </c>
      <c r="BD45" s="5" t="str">
        <f t="shared" si="2"/>
        <v/>
      </c>
      <c r="BE45" s="5" t="str">
        <f t="shared" si="3"/>
        <v/>
      </c>
      <c r="BF45" s="18" t="str">
        <f t="shared" si="4"/>
        <v/>
      </c>
      <c r="BG45" s="35" t="str">
        <f t="shared" si="5"/>
        <v/>
      </c>
      <c r="BH45" s="30" t="str">
        <f t="shared" si="6"/>
        <v/>
      </c>
      <c r="BI45" s="8" t="str">
        <f t="shared" si="7"/>
        <v/>
      </c>
      <c r="BJ45" s="63"/>
      <c r="BK45" s="5" t="str">
        <f t="shared" si="8"/>
        <v/>
      </c>
      <c r="BL45" s="18" t="str">
        <f t="shared" si="9"/>
        <v/>
      </c>
      <c r="BM45" s="10" t="str">
        <f t="shared" si="10"/>
        <v/>
      </c>
      <c r="BN45" s="63"/>
      <c r="BO45" s="5" t="str">
        <f t="shared" si="11"/>
        <v/>
      </c>
      <c r="BP45" s="18" t="str">
        <f t="shared" si="12"/>
        <v/>
      </c>
      <c r="BQ45" s="20">
        <f t="shared" si="13"/>
        <v>0</v>
      </c>
    </row>
    <row r="46" spans="2:69" ht="20.100000000000001" customHeight="1" x14ac:dyDescent="0.25">
      <c r="B46" s="49">
        <f>IFERROR('[1]LISTA 4TO A MULTIMEDIA'!A44,"")</f>
        <v>0</v>
      </c>
      <c r="C46" s="50">
        <f>IFERROR('[1]LISTA 4TO A MULTIMEDIA'!B44,"")</f>
        <v>0</v>
      </c>
      <c r="D46" s="13">
        <f>IFERROR('[1]LISTA 4TO A MULTIMEDIA'!C44,"")</f>
        <v>0</v>
      </c>
      <c r="E46" s="39">
        <f>IFERROR('[1]LISTA 4TO A MULTIMEDIA'!M44,"")</f>
        <v>0</v>
      </c>
      <c r="F46" s="8"/>
      <c r="G46" s="5"/>
      <c r="H46" s="5"/>
      <c r="I46" s="60"/>
      <c r="J46" s="10"/>
      <c r="K46" s="5"/>
      <c r="L46" s="5"/>
      <c r="M46" s="60"/>
      <c r="N46" s="10"/>
      <c r="O46" s="5"/>
      <c r="P46" s="5"/>
      <c r="Q46" s="60"/>
      <c r="R46" s="10"/>
      <c r="S46" s="5"/>
      <c r="T46" s="5"/>
      <c r="U46" s="60"/>
      <c r="V46" s="10"/>
      <c r="W46" s="5"/>
      <c r="X46" s="5"/>
      <c r="Y46" s="60"/>
      <c r="Z46" s="10"/>
      <c r="AA46" s="5"/>
      <c r="AB46" s="5"/>
      <c r="AC46" s="60"/>
      <c r="AD46" s="10"/>
      <c r="AE46" s="5"/>
      <c r="AF46" s="5"/>
      <c r="AG46" s="60"/>
      <c r="AH46" s="10"/>
      <c r="AI46" s="5"/>
      <c r="AJ46" s="5"/>
      <c r="AK46" s="60"/>
      <c r="AL46" s="10"/>
      <c r="AM46" s="5"/>
      <c r="AN46" s="5"/>
      <c r="AO46" s="60"/>
      <c r="AP46" s="10"/>
      <c r="AQ46" s="5"/>
      <c r="AR46" s="5"/>
      <c r="AS46" s="60"/>
      <c r="AT46" s="10"/>
      <c r="AU46" s="5"/>
      <c r="AV46" s="5"/>
      <c r="AW46" s="60"/>
      <c r="AY46" s="1">
        <f>Tabla423[[#This Row],['#]]</f>
        <v>0</v>
      </c>
      <c r="AZ46" s="13">
        <f>Tabla423[[#This Row],[Nombres]]</f>
        <v>0</v>
      </c>
      <c r="BA46" s="14">
        <f>Tabla423[[#This Row],[Apellidos]]</f>
        <v>0</v>
      </c>
      <c r="BB46" s="28">
        <f>Tabla423[[#This Row],[Codición Actual]]</f>
        <v>0</v>
      </c>
      <c r="BC46" s="5" t="str">
        <f t="shared" si="1"/>
        <v/>
      </c>
      <c r="BD46" s="5" t="str">
        <f t="shared" si="2"/>
        <v/>
      </c>
      <c r="BE46" s="5" t="str">
        <f t="shared" si="3"/>
        <v/>
      </c>
      <c r="BF46" s="18" t="str">
        <f t="shared" si="4"/>
        <v/>
      </c>
      <c r="BG46" s="35" t="str">
        <f t="shared" si="5"/>
        <v/>
      </c>
      <c r="BH46" s="30" t="str">
        <f t="shared" si="6"/>
        <v/>
      </c>
      <c r="BI46" s="8" t="str">
        <f t="shared" si="7"/>
        <v/>
      </c>
      <c r="BJ46" s="63"/>
      <c r="BK46" s="5" t="str">
        <f t="shared" si="8"/>
        <v/>
      </c>
      <c r="BL46" s="18" t="str">
        <f t="shared" si="9"/>
        <v/>
      </c>
      <c r="BM46" s="10" t="str">
        <f t="shared" si="10"/>
        <v/>
      </c>
      <c r="BN46" s="63"/>
      <c r="BO46" s="5" t="str">
        <f t="shared" si="11"/>
        <v/>
      </c>
      <c r="BP46" s="18" t="str">
        <f t="shared" si="12"/>
        <v/>
      </c>
      <c r="BQ46" s="20">
        <f t="shared" si="13"/>
        <v>0</v>
      </c>
    </row>
    <row r="47" spans="2:69" ht="20.100000000000001" customHeight="1" x14ac:dyDescent="0.25">
      <c r="B47" s="49">
        <f>IFERROR('[1]LISTA 4TO A MULTIMEDIA'!A45,"")</f>
        <v>0</v>
      </c>
      <c r="C47" s="50">
        <f>IFERROR('[1]LISTA 4TO A MULTIMEDIA'!B45,"")</f>
        <v>0</v>
      </c>
      <c r="D47" s="13">
        <f>IFERROR('[1]LISTA 4TO A MULTIMEDIA'!C45,"")</f>
        <v>0</v>
      </c>
      <c r="E47" s="39">
        <f>IFERROR('[1]LISTA 4TO A MULTIMEDIA'!M45,"")</f>
        <v>0</v>
      </c>
      <c r="F47" s="8"/>
      <c r="G47" s="5"/>
      <c r="H47" s="5"/>
      <c r="I47" s="60"/>
      <c r="J47" s="10"/>
      <c r="K47" s="5"/>
      <c r="L47" s="5"/>
      <c r="M47" s="60"/>
      <c r="N47" s="10"/>
      <c r="O47" s="5"/>
      <c r="P47" s="5"/>
      <c r="Q47" s="60"/>
      <c r="R47" s="10"/>
      <c r="S47" s="5"/>
      <c r="T47" s="5"/>
      <c r="U47" s="60"/>
      <c r="V47" s="10"/>
      <c r="W47" s="5"/>
      <c r="X47" s="5"/>
      <c r="Y47" s="60"/>
      <c r="Z47" s="10"/>
      <c r="AA47" s="5"/>
      <c r="AB47" s="5"/>
      <c r="AC47" s="60"/>
      <c r="AD47" s="10"/>
      <c r="AE47" s="5"/>
      <c r="AF47" s="5"/>
      <c r="AG47" s="60"/>
      <c r="AH47" s="10"/>
      <c r="AI47" s="5"/>
      <c r="AJ47" s="5"/>
      <c r="AK47" s="60"/>
      <c r="AL47" s="10"/>
      <c r="AM47" s="5"/>
      <c r="AN47" s="5"/>
      <c r="AO47" s="60"/>
      <c r="AP47" s="10"/>
      <c r="AQ47" s="5"/>
      <c r="AR47" s="5"/>
      <c r="AS47" s="60"/>
      <c r="AT47" s="10"/>
      <c r="AU47" s="5"/>
      <c r="AV47" s="5"/>
      <c r="AW47" s="60"/>
      <c r="AY47" s="1">
        <f>Tabla423[[#This Row],['#]]</f>
        <v>0</v>
      </c>
      <c r="AZ47" s="13">
        <f>Tabla423[[#This Row],[Nombres]]</f>
        <v>0</v>
      </c>
      <c r="BA47" s="14">
        <f>Tabla423[[#This Row],[Apellidos]]</f>
        <v>0</v>
      </c>
      <c r="BB47" s="28">
        <f>Tabla423[[#This Row],[Codición Actual]]</f>
        <v>0</v>
      </c>
      <c r="BC47" s="5" t="str">
        <f t="shared" si="1"/>
        <v/>
      </c>
      <c r="BD47" s="5" t="str">
        <f t="shared" si="2"/>
        <v/>
      </c>
      <c r="BE47" s="5" t="str">
        <f t="shared" si="3"/>
        <v/>
      </c>
      <c r="BF47" s="18" t="str">
        <f t="shared" si="4"/>
        <v/>
      </c>
      <c r="BG47" s="35" t="str">
        <f t="shared" si="5"/>
        <v/>
      </c>
      <c r="BH47" s="30" t="str">
        <f t="shared" si="6"/>
        <v/>
      </c>
      <c r="BI47" s="8" t="str">
        <f t="shared" si="7"/>
        <v/>
      </c>
      <c r="BJ47" s="63"/>
      <c r="BK47" s="5" t="str">
        <f t="shared" si="8"/>
        <v/>
      </c>
      <c r="BL47" s="18" t="str">
        <f t="shared" si="9"/>
        <v/>
      </c>
      <c r="BM47" s="10" t="str">
        <f t="shared" si="10"/>
        <v/>
      </c>
      <c r="BN47" s="63"/>
      <c r="BO47" s="5" t="str">
        <f t="shared" si="11"/>
        <v/>
      </c>
      <c r="BP47" s="18" t="str">
        <f t="shared" si="12"/>
        <v/>
      </c>
      <c r="BQ47" s="20">
        <f t="shared" si="13"/>
        <v>0</v>
      </c>
    </row>
    <row r="48" spans="2:69" ht="20.100000000000001" customHeight="1" x14ac:dyDescent="0.25">
      <c r="B48" s="49">
        <f>IFERROR('[1]LISTA 4TO A MULTIMEDIA'!A46,"")</f>
        <v>0</v>
      </c>
      <c r="C48" s="50">
        <f>IFERROR('[1]LISTA 4TO A MULTIMEDIA'!B46,"")</f>
        <v>0</v>
      </c>
      <c r="D48" s="13">
        <f>IFERROR('[1]LISTA 4TO A MULTIMEDIA'!C46,"")</f>
        <v>0</v>
      </c>
      <c r="E48" s="39">
        <f>IFERROR('[1]LISTA 4TO A MULTIMEDIA'!M46,"")</f>
        <v>0</v>
      </c>
      <c r="F48" s="8"/>
      <c r="G48" s="5"/>
      <c r="H48" s="5"/>
      <c r="I48" s="60"/>
      <c r="J48" s="10"/>
      <c r="K48" s="5"/>
      <c r="L48" s="5"/>
      <c r="M48" s="60"/>
      <c r="N48" s="10"/>
      <c r="O48" s="5"/>
      <c r="P48" s="5"/>
      <c r="Q48" s="60"/>
      <c r="R48" s="10"/>
      <c r="S48" s="5"/>
      <c r="T48" s="5"/>
      <c r="U48" s="60"/>
      <c r="V48" s="10"/>
      <c r="W48" s="5"/>
      <c r="X48" s="5"/>
      <c r="Y48" s="60"/>
      <c r="Z48" s="10"/>
      <c r="AA48" s="5"/>
      <c r="AB48" s="5"/>
      <c r="AC48" s="60"/>
      <c r="AD48" s="10"/>
      <c r="AE48" s="5"/>
      <c r="AF48" s="5"/>
      <c r="AG48" s="60"/>
      <c r="AH48" s="10"/>
      <c r="AI48" s="5"/>
      <c r="AJ48" s="5"/>
      <c r="AK48" s="60"/>
      <c r="AL48" s="10"/>
      <c r="AM48" s="5"/>
      <c r="AN48" s="5"/>
      <c r="AO48" s="60"/>
      <c r="AP48" s="10"/>
      <c r="AQ48" s="5"/>
      <c r="AR48" s="5"/>
      <c r="AS48" s="60"/>
      <c r="AT48" s="10"/>
      <c r="AU48" s="5"/>
      <c r="AV48" s="5"/>
      <c r="AW48" s="60"/>
      <c r="AY48" s="1">
        <f>Tabla423[[#This Row],['#]]</f>
        <v>0</v>
      </c>
      <c r="AZ48" s="13">
        <f>Tabla423[[#This Row],[Nombres]]</f>
        <v>0</v>
      </c>
      <c r="BA48" s="14">
        <f>Tabla423[[#This Row],[Apellidos]]</f>
        <v>0</v>
      </c>
      <c r="BB48" s="28">
        <f>Tabla423[[#This Row],[Codición Actual]]</f>
        <v>0</v>
      </c>
      <c r="BC48" s="5" t="str">
        <f t="shared" si="1"/>
        <v/>
      </c>
      <c r="BD48" s="5" t="str">
        <f t="shared" si="2"/>
        <v/>
      </c>
      <c r="BE48" s="5" t="str">
        <f t="shared" si="3"/>
        <v/>
      </c>
      <c r="BF48" s="18" t="str">
        <f t="shared" si="4"/>
        <v/>
      </c>
      <c r="BG48" s="35" t="str">
        <f t="shared" si="5"/>
        <v/>
      </c>
      <c r="BH48" s="30" t="str">
        <f t="shared" si="6"/>
        <v/>
      </c>
      <c r="BI48" s="8" t="str">
        <f t="shared" si="7"/>
        <v/>
      </c>
      <c r="BJ48" s="63"/>
      <c r="BK48" s="5" t="str">
        <f t="shared" si="8"/>
        <v/>
      </c>
      <c r="BL48" s="18" t="str">
        <f t="shared" si="9"/>
        <v/>
      </c>
      <c r="BM48" s="10" t="str">
        <f t="shared" si="10"/>
        <v/>
      </c>
      <c r="BN48" s="63"/>
      <c r="BO48" s="5" t="str">
        <f t="shared" si="11"/>
        <v/>
      </c>
      <c r="BP48" s="18" t="str">
        <f t="shared" si="12"/>
        <v/>
      </c>
      <c r="BQ48" s="20">
        <f t="shared" si="13"/>
        <v>0</v>
      </c>
    </row>
    <row r="49" spans="2:69" ht="20.100000000000001" customHeight="1" thickBot="1" x14ac:dyDescent="0.3">
      <c r="B49" s="51">
        <f>IFERROR('[1]LISTA 4TO A MULTIMEDIA'!A47,"")</f>
        <v>0</v>
      </c>
      <c r="C49" s="52">
        <f>IFERROR('[1]LISTA 4TO A MULTIMEDIA'!B47,"")</f>
        <v>0</v>
      </c>
      <c r="D49" s="16">
        <f>IFERROR('[1]LISTA 4TO A MULTIMEDIA'!C47,"")</f>
        <v>0</v>
      </c>
      <c r="E49" s="40">
        <f>IFERROR('[1]LISTA 4TO A MULTIMEDIA'!M47,"")</f>
        <v>0</v>
      </c>
      <c r="F49" s="55"/>
      <c r="G49" s="21"/>
      <c r="H49" s="21"/>
      <c r="I49" s="61"/>
      <c r="J49" s="56"/>
      <c r="K49" s="21"/>
      <c r="L49" s="21"/>
      <c r="M49" s="61"/>
      <c r="N49" s="56"/>
      <c r="O49" s="21"/>
      <c r="P49" s="21"/>
      <c r="Q49" s="61"/>
      <c r="R49" s="56"/>
      <c r="S49" s="21"/>
      <c r="T49" s="21"/>
      <c r="U49" s="61"/>
      <c r="V49" s="56"/>
      <c r="W49" s="21"/>
      <c r="X49" s="21"/>
      <c r="Y49" s="61"/>
      <c r="Z49" s="56"/>
      <c r="AA49" s="21"/>
      <c r="AB49" s="21"/>
      <c r="AC49" s="61"/>
      <c r="AD49" s="56"/>
      <c r="AE49" s="21"/>
      <c r="AF49" s="21"/>
      <c r="AG49" s="61"/>
      <c r="AH49" s="56"/>
      <c r="AI49" s="21"/>
      <c r="AJ49" s="21"/>
      <c r="AK49" s="61"/>
      <c r="AL49" s="56"/>
      <c r="AM49" s="21"/>
      <c r="AN49" s="21"/>
      <c r="AO49" s="61"/>
      <c r="AP49" s="56"/>
      <c r="AQ49" s="21"/>
      <c r="AR49" s="21"/>
      <c r="AS49" s="61"/>
      <c r="AT49" s="56"/>
      <c r="AU49" s="21"/>
      <c r="AV49" s="21"/>
      <c r="AW49" s="61"/>
      <c r="AY49" s="1">
        <f>Tabla423[[#This Row],['#]]</f>
        <v>0</v>
      </c>
      <c r="AZ49" s="13">
        <f>Tabla423[[#This Row],[Nombres]]</f>
        <v>0</v>
      </c>
      <c r="BA49" s="14">
        <f>Tabla423[[#This Row],[Apellidos]]</f>
        <v>0</v>
      </c>
      <c r="BB49" s="28">
        <f>Tabla423[[#This Row],[Codición Actual]]</f>
        <v>0</v>
      </c>
      <c r="BC49" s="5" t="str">
        <f t="shared" si="1"/>
        <v/>
      </c>
      <c r="BD49" s="5" t="str">
        <f t="shared" si="2"/>
        <v/>
      </c>
      <c r="BE49" s="5" t="str">
        <f t="shared" si="3"/>
        <v/>
      </c>
      <c r="BF49" s="18" t="str">
        <f t="shared" si="4"/>
        <v/>
      </c>
      <c r="BG49" s="36" t="str">
        <f t="shared" si="5"/>
        <v/>
      </c>
      <c r="BH49" s="31" t="str">
        <f t="shared" si="6"/>
        <v/>
      </c>
      <c r="BI49" s="8" t="str">
        <f t="shared" si="7"/>
        <v/>
      </c>
      <c r="BJ49" s="63"/>
      <c r="BK49" s="5" t="str">
        <f t="shared" si="8"/>
        <v/>
      </c>
      <c r="BL49" s="18" t="str">
        <f t="shared" si="9"/>
        <v/>
      </c>
      <c r="BM49" s="10" t="str">
        <f t="shared" si="10"/>
        <v/>
      </c>
      <c r="BN49" s="63"/>
      <c r="BO49" s="5" t="str">
        <f t="shared" si="11"/>
        <v/>
      </c>
      <c r="BP49" s="18" t="str">
        <f t="shared" si="12"/>
        <v/>
      </c>
      <c r="BQ49" s="20">
        <f t="shared" si="13"/>
        <v>0</v>
      </c>
    </row>
  </sheetData>
  <sheetProtection algorithmName="SHA-512" hashValue="zyu1Si1+6mw06bZvoCgSdditBB/LiEB58umGzD1RPQP+m1/Vdp9e+ubO0Hn+gCBzljPCJJXjG5eUk3+9mQZNkg==" saltValue="Bz5mlHTuTZrZ6rI6Ug2kAA==" spinCount="100000" sheet="1" objects="1" scenarios="1"/>
  <mergeCells count="40">
    <mergeCell ref="BM8:BM9"/>
    <mergeCell ref="BN8:BN9"/>
    <mergeCell ref="BO8:BO9"/>
    <mergeCell ref="BP8:BP9"/>
    <mergeCell ref="BQ8:BQ9"/>
    <mergeCell ref="BL8:BL9"/>
    <mergeCell ref="BC8:BC9"/>
    <mergeCell ref="BD8:BD9"/>
    <mergeCell ref="BE8:BE9"/>
    <mergeCell ref="BF8:BF9"/>
    <mergeCell ref="BG8:BG9"/>
    <mergeCell ref="BI8:BI9"/>
    <mergeCell ref="BJ8:BJ9"/>
    <mergeCell ref="BK8:BK9"/>
    <mergeCell ref="AT6:AW8"/>
    <mergeCell ref="AY1:BQ2"/>
    <mergeCell ref="B3:AW3"/>
    <mergeCell ref="AY3:BQ3"/>
    <mergeCell ref="B4:AW4"/>
    <mergeCell ref="AY4:BQ4"/>
    <mergeCell ref="B1:AW2"/>
    <mergeCell ref="B5:AW5"/>
    <mergeCell ref="AY5:BQ5"/>
    <mergeCell ref="B6:E8"/>
    <mergeCell ref="AY6:BB8"/>
    <mergeCell ref="BC6:BG7"/>
    <mergeCell ref="BH6:BH9"/>
    <mergeCell ref="BI6:BL7"/>
    <mergeCell ref="BM6:BP7"/>
    <mergeCell ref="BQ6:BQ7"/>
    <mergeCell ref="Z6:AC8"/>
    <mergeCell ref="AD6:AG8"/>
    <mergeCell ref="AH6:AK8"/>
    <mergeCell ref="AL6:AO8"/>
    <mergeCell ref="AP6:AS8"/>
    <mergeCell ref="F6:I8"/>
    <mergeCell ref="J6:M8"/>
    <mergeCell ref="N6:Q8"/>
    <mergeCell ref="R6:U8"/>
    <mergeCell ref="V6:Y8"/>
  </mergeCells>
  <conditionalFormatting sqref="F20:AW49 F19:AJ19 AL19:AW19 F11:AW18">
    <cfRule type="cellIs" dxfId="16" priority="2" stopIfTrue="1" operator="lessThanOrEqual">
      <formula>69.4</formula>
    </cfRule>
  </conditionalFormatting>
  <conditionalFormatting sqref="BB10:BB49">
    <cfRule type="containsText" dxfId="15" priority="3" operator="containsText" text="Desertor">
      <formula>NOT(ISERROR(SEARCH("Desertor",BB10)))</formula>
    </cfRule>
    <cfRule type="containsText" dxfId="14" priority="4" operator="containsText" text="Retirado">
      <formula>NOT(ISERROR(SEARCH("Retirado",BB10)))</formula>
    </cfRule>
    <cfRule type="containsText" dxfId="13" priority="5" operator="containsText" text="Activo">
      <formula>NOT(ISERROR(SEARCH("Activo",BB10)))</formula>
    </cfRule>
  </conditionalFormatting>
  <conditionalFormatting sqref="BL10:BL49 BP10:BP49 BC10:BG49">
    <cfRule type="cellIs" dxfId="12" priority="13" operator="lessThanOrEqual">
      <formula>69.4</formula>
    </cfRule>
  </conditionalFormatting>
  <conditionalFormatting sqref="BH10:BH49">
    <cfRule type="cellIs" dxfId="11" priority="10" operator="lessThanOrEqual">
      <formula>79.4</formula>
    </cfRule>
  </conditionalFormatting>
  <conditionalFormatting sqref="BQ10:BQ49">
    <cfRule type="cellIs" dxfId="10" priority="6" operator="equal">
      <formula>"Desertor"</formula>
    </cfRule>
    <cfRule type="cellIs" dxfId="9" priority="7" operator="equal">
      <formula>"Retirado"</formula>
    </cfRule>
    <cfRule type="cellIs" dxfId="8" priority="8" operator="equal">
      <formula>"Reprobado"</formula>
    </cfRule>
    <cfRule type="cellIs" dxfId="7" priority="9" operator="equal">
      <formula>"Aprobado"</formula>
    </cfRule>
  </conditionalFormatting>
  <pageMargins left="0.43307086614173229" right="0.23622047244094491" top="0.51181102362204722" bottom="0.47244094488188981" header="0.15748031496062992" footer="0.11811023622047245"/>
  <pageSetup scale="55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CF 4TO A MULTIMEDIA</vt:lpstr>
      <vt:lpstr>'CF 4TO A MULTIMEDIA'!Área_de_impresión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D19C5606 educacion</dc:creator>
  <cp:keywords/>
  <dc:description/>
  <cp:lastModifiedBy>Tirso Del Jesus Figuereo Guerrero</cp:lastModifiedBy>
  <cp:revision/>
  <dcterms:created xsi:type="dcterms:W3CDTF">2021-08-11T03:45:19Z</dcterms:created>
  <dcterms:modified xsi:type="dcterms:W3CDTF">2026-06-16T17:53:50Z</dcterms:modified>
  <cp:category/>
  <cp:contentStatus/>
</cp:coreProperties>
</file>